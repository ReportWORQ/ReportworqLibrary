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Data\RW Systems\RWDemo\Reports\"/>
    </mc:Choice>
  </mc:AlternateContent>
  <xr:revisionPtr revIDLastSave="0" documentId="13_ncr:1_{156B800E-3CB1-41D4-B0FA-2BD0C4939973}" xr6:coauthVersionLast="47" xr6:coauthVersionMax="47" xr10:uidLastSave="{00000000-0000-0000-0000-000000000000}"/>
  <bookViews>
    <workbookView xWindow="-28920" yWindow="-120" windowWidth="29040" windowHeight="15720" tabRatio="500" firstSheet="1" activeTab="6" xr2:uid="{00000000-000D-0000-FFFF-FFFF00000000}"/>
  </bookViews>
  <sheets>
    <sheet name="README" sheetId="1" r:id="rId1"/>
    <sheet name="1. Basic Syntax" sheetId="2" r:id="rId2"/>
    <sheet name="2. Single Sort" sheetId="3" r:id="rId3"/>
    <sheet name="3. Multi-Column Sort" sheetId="4" r:id="rId4"/>
    <sheet name="4. TOP " sheetId="5" r:id="rId5"/>
    <sheet name="4. BOTTOM" sheetId="9" r:id="rId6"/>
    <sheet name="5. Sort + Suppress" sheetId="6" r:id="rId7"/>
    <sheet name="6. Excel Table Sort" sheetId="7" r:id="rId8"/>
    <sheet name="7. Common Mistakes" sheetId="8" r:id="rId9"/>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26" i="9" l="1"/>
  <c r="B23" i="7"/>
  <c r="B22" i="7"/>
  <c r="B21" i="7"/>
  <c r="B20" i="7"/>
  <c r="E24" i="6"/>
  <c r="A26" i="5"/>
  <c r="F24" i="4"/>
  <c r="F24" i="3"/>
  <c r="B19" i="7"/>
  <c r="F18" i="6"/>
  <c r="F17" i="6"/>
  <c r="F16" i="6"/>
  <c r="F15" i="6"/>
  <c r="F14" i="6"/>
  <c r="F13" i="6"/>
  <c r="F12" i="6"/>
  <c r="F11" i="6"/>
  <c r="F10" i="6"/>
  <c r="F9" i="6"/>
  <c r="F8" i="6"/>
  <c r="F7" i="6"/>
</calcChain>
</file>

<file path=xl/sharedStrings.xml><?xml version="1.0" encoding="utf-8"?>
<sst xmlns="http://schemas.openxmlformats.org/spreadsheetml/2006/main" count="413" uniqueCount="234">
  <si>
    <t>RWSORT — Reportworq Excel Function Reference &amp; Examples</t>
  </si>
  <si>
    <t>Function</t>
  </si>
  <si>
    <t>RWSORT( Range or Table Name, [Sort Column 1], [Sort Order 1], [Sort Column 2], [Sort Order 2], [Sort Column 3], [Sort Order 3], [Top/Bottom], [N for Top/Bottom] )</t>
  </si>
  <si>
    <t>Purpose</t>
  </si>
  <si>
    <t>Sorts a range or Excel Table at report generation time, directly within the Reportworq template. Supports up to three sort levels in any combination of ascending/descending, and can optionally limit the output to the top or bottom N rows after sorting.</t>
  </si>
  <si>
    <t>Range or Table Name</t>
  </si>
  <si>
    <t>Required. The data to sort. Either a cell range (e.g., A1:D30) or an Excel table name (e.g., "Table 1").</t>
  </si>
  <si>
    <t>Sort Column 1/2/3</t>
  </si>
  <si>
    <t>Optional. Integer index — 1 for first column of the range, 2 for second, etc. Default is 1.</t>
  </si>
  <si>
    <t>Sort Order 1/2/3</t>
  </si>
  <si>
    <t>Optional. TRUE = ascending (default), FALSE = descending.</t>
  </si>
  <si>
    <t>TOP / BOTTOM</t>
  </si>
  <si>
    <t>Optional. "TOP" or "BOTTOM" string, immediately followed by N. After sorting, limits visible rows to the top N (with TOP) or bottom N (with BOTTOM).</t>
  </si>
  <si>
    <t>N</t>
  </si>
  <si>
    <t>Required when TOP/BOTTOM is provided. Number of rows to keep visible. If N is &gt;= the total number of rows, no rows are hidden.</t>
  </si>
  <si>
    <t>Important — hide vs delete</t>
  </si>
  <si>
    <t>When TOP/BOTTOM is used, rows outside the kept N are HIDDEN, not deleted. The data is still in the workbook; it's just invisible in the rendered output.</t>
  </si>
  <si>
    <t>Compared to Excel's SORT()</t>
  </si>
  <si>
    <t>Unlike Excel's built-in SORT function, RWSORT operates as a post-processing step — the sort is physically applied to the workbook data when the report runs. This makes it compatible with dynamic data populated by other RW formulas.</t>
  </si>
  <si>
    <t>Formula placement</t>
  </si>
  <si>
    <t>RWSORT operates on the RANGE specified by the first argument — the formula's own placement doesn't determine where the sort happens. Place the formula anywhere on the sheet that's clear of the data range itself.</t>
  </si>
  <si>
    <t>Scope</t>
  </si>
  <si>
    <t>Provider-agnostic. Works with any Reportworq datasource (IBM Planning Analytics, Anaplan, Workday Adaptive, SQL, Pigment, Oracle EPM, etc.).</t>
  </si>
  <si>
    <t>Reference</t>
  </si>
  <si>
    <t>https://docs.reportworq.com/docs/excel-functions-general/#rwsort</t>
  </si>
  <si>
    <t>How to read this workbook</t>
  </si>
  <si>
    <t>Every example formula appears in TWO formula columns:
  •  "Formula (display)"  — blue, italic. Stored as TEXT so the syntax is readable on screen.
  •  "Formula (live)"     — green tint. Stored as a real formula. Excel shows #NAME? (expected — RWSORT isn't native), but Reportworq evaluates it at runtime.
Each demo sheet shows:
  •  The data range BEFORE the sort (its current order in this workbook), highlighted in light blue.
  •  The RWSORT formula (display + live) placed well clear of the data range.
  •  The expected RESULT of the sort — what the data range should look like AFTER Reportworq runs.
When you run this through Reportworq, the data range itself will be physically reordered. Compare what you see to the expected-result table on the same sheet to verify.</t>
  </si>
  <si>
    <t>Worksheets in this workbook</t>
  </si>
  <si>
    <t>Sheet</t>
  </si>
  <si>
    <t>What it shows</t>
  </si>
  <si>
    <t>1. Basic Syntax</t>
  </si>
  <si>
    <t>All argument combinations from the official docs — single-column sort, ascending/descending, with and without TOP/BOTTOM.</t>
  </si>
  <si>
    <t>2. Single Sort</t>
  </si>
  <si>
    <t>Sales report sorted by Revenue descending. Shows the data 'before' (current state) and the expected 'after' state side by side.</t>
  </si>
  <si>
    <t>3. Multi-Column Sort</t>
  </si>
  <si>
    <t>Sales report sorted by Region (asc) then Revenue (desc) then Product (asc) — demonstrates all three sort levels.</t>
  </si>
  <si>
    <t>4. TOP / BOTTOM</t>
  </si>
  <si>
    <t>Top 5 customers by revenue, and bottom 3 underperforming products. Shows which rows would be hidden vs visible.</t>
  </si>
  <si>
    <t>5. Sort + Suppress</t>
  </si>
  <si>
    <t>Edge case — RWSORT combined with RWSUPPRESS instead of TOP/BOTTOM. Lets you DELETE rows (rather than hide), or apply arbitrary suppression conditions beyond a top-N count.</t>
  </si>
  <si>
    <t>6. Excel Table Sort</t>
  </si>
  <si>
    <t>Sorting an Excel table by name ("SalesTable") instead of a cell range — useful when the data lives in a structured table.</t>
  </si>
  <si>
    <t>7. Common Mistakes</t>
  </si>
  <si>
    <t>Pitfalls to avoid — column index off-by-one errors, forgetting N after TOP/BOTTOM, sort order confusion.</t>
  </si>
  <si>
    <t>Basic Syntax — RWSORT( Range, [Col1], [Order1], ... [TOP/BOTTOM], [N] )</t>
  </si>
  <si>
    <t>Single-column sort — equivalent forms</t>
  </si>
  <si>
    <t>Formula (display)</t>
  </si>
  <si>
    <t>Formula (live)</t>
  </si>
  <si>
    <t>What it does</t>
  </si>
  <si>
    <t>=RWSORT(A1:D30)</t>
  </si>
  <si>
    <t>Most compact form. Sort Column defaults to 1, Sort Order defaults to TRUE (ascending). Sorts A1:D30 by the first column, ascending.</t>
  </si>
  <si>
    <t>=RWSORT(A1:D30, 1, TRUE)</t>
  </si>
  <si>
    <t>Explicit equivalent of the row above. Sort the first column ascending.</t>
  </si>
  <si>
    <t>=RWSORT("Table 1")</t>
  </si>
  <si>
    <t>Same idea but referencing an Excel table by name instead of a cell range. Sort "Table 1" by its first column, ascending.</t>
  </si>
  <si>
    <t>=RWSORT("Table 1", 1, TRUE)</t>
  </si>
  <si>
    <t>Explicit equivalent. Sort "Table 1" by first column, ascending.</t>
  </si>
  <si>
    <t>=RWSORT(A1:D30, 1, FALSE)</t>
  </si>
  <si>
    <t>Sort first column DESCENDING (largest values first / Z-A for text).</t>
  </si>
  <si>
    <t>=RWSORT(A1:D30, 3, FALSE)</t>
  </si>
  <si>
    <t>Sort by the THIRD column of the range (column C, since A=1), descending.</t>
  </si>
  <si>
    <t>Multi-column sort — up to three levels</t>
  </si>
  <si>
    <t>=RWSORT(A1:D30, 1, TRUE, 3, TRUE)</t>
  </si>
  <si>
    <t>Two-level sort: first column ascending, then third column ascending within each first-column group.</t>
  </si>
  <si>
    <t>=RWSORT("Table 1", 1, TRUE, 3, TRUE)</t>
  </si>
  <si>
    <t>Same two-level sort but on a named table.</t>
  </si>
  <si>
    <t>=RWSORT(A1:D30, 1, TRUE, 2, TRUE, 3, FALSE)</t>
  </si>
  <si>
    <t>Three-level sort: first column ascending, then second column ascending, then third column descending.</t>
  </si>
  <si>
    <t>=RWSORT("Table 1", 1, TRUE, 2, TRUE, 3, FALSE)</t>
  </si>
  <si>
    <t>Three-level sort on a named table — same logic as the row above.</t>
  </si>
  <si>
    <t>TOP / BOTTOM — limit visible rows after sort</t>
  </si>
  <si>
    <t>After sorting, you can hide all but the top or bottom N rows. The hidden rows are NOT deleted — they're just invisible in the rendered output. If N is greater than or equal to the total row count, no rows are hidden.</t>
  </si>
  <si>
    <t>=RWSORT(A1:D30, 1, TRUE, "TOP", 5)</t>
  </si>
  <si>
    <t>Sort A1:D30 by first column ascending, then keep only the TOP 5 rows visible. Rows 6-30 of the sorted range are hidden.</t>
  </si>
  <si>
    <t>=RWSORT("Table 1", 1, TRUE, "TOP", 5)</t>
  </si>
  <si>
    <t>Same TOP 5 logic but on a named table.</t>
  </si>
  <si>
    <t>=RWSORT(A1:D30, 1, TRUE, "BOTTOM", 5)</t>
  </si>
  <si>
    <t>Sort A1:D30 by first column ascending, then keep only the BOTTOM 5 rows visible.</t>
  </si>
  <si>
    <t>=RWSORT("Table 1", 1, TRUE, "BOTTOM", 5)</t>
  </si>
  <si>
    <t>Same BOTTOM 5 logic but on a named table.</t>
  </si>
  <si>
    <t>=RWSORT(A1:D30, 2, FALSE, "TOP", 10)</t>
  </si>
  <si>
    <t>Sort by second column DESCENDING, then keep the top 10 rows. Useful for "top 10 by revenue" reports.</t>
  </si>
  <si>
    <t>Single-Column Sort — sort sales records by Revenue (descending)</t>
  </si>
  <si>
    <t>Scenario: a flat sales report with 12 rows. We want the report sorted by Revenue (column C) in descending order — biggest sales first.
Left side: the data BEFORE the sort, in its current order.
Right side: the data AFTER the sort — what Reportworq should produce when it runs the live RWSORT formula below.
The RWSORT formula targets the range A6:D17 (the actual data on the left), not the right-side expected-result table. The right-side table is for visual comparison only — when you run this sheet through Reportworq, the LEFT side data will be physically reordered to match the right.</t>
  </si>
  <si>
    <t>BEFORE — current order</t>
  </si>
  <si>
    <t>AFTER — expected result of RWSORT</t>
  </si>
  <si>
    <t>Region</t>
  </si>
  <si>
    <t>Product</t>
  </si>
  <si>
    <t>Revenue</t>
  </si>
  <si>
    <t>Units</t>
  </si>
  <si>
    <t>North America</t>
  </si>
  <si>
    <t>Widgets</t>
  </si>
  <si>
    <t>Services</t>
  </si>
  <si>
    <t>EMEA</t>
  </si>
  <si>
    <t>Gadgets</t>
  </si>
  <si>
    <t>APAC</t>
  </si>
  <si>
    <t>LATAM</t>
  </si>
  <si>
    <t>RWSORT formula — placed below the sort range</t>
  </si>
  <si>
    <t>The formula below targets the range A7:D18 (the BEFORE table). When Reportworq runs, the LEFT-side data will be physically reordered to match the RIGHT-side expected result. (Column 3 of the range is Revenue; FALSE = descending.)</t>
  </si>
  <si>
    <t>=RWSORT(A7:D18, 3, FALSE)</t>
  </si>
  <si>
    <t>Expected outcome — what Reportworq should produce</t>
  </si>
  <si>
    <t>When Reportworq evaluates the live formula above (=RWSORT(A7:D18, 3, FALSE)), it sorts rows 7-18 in place by column C (Revenue) descending. Highest Revenue ($72,800 — North America Services) ends up in row 7. Lowest Revenue ($5,400 — LATAM Services) ends up in row 18. The right-side AFTER table (F7:I18) shows exactly what the sorted left-side range should look like.</t>
  </si>
  <si>
    <t>Legend:</t>
  </si>
  <si>
    <t>light blue = the sort range (the data Reportworq will physically reorder).</t>
  </si>
  <si>
    <t>amber tint = expected post-sort result (for visual comparison only — Reportworq does NOT touch this side).</t>
  </si>
  <si>
    <t>green tint = live formula cell (Excel shows #NAME?, Reportworq evaluates it at runtime).</t>
  </si>
  <si>
    <t>Multi-Column Sort — Region asc, Revenue desc, Product asc</t>
  </si>
  <si>
    <t>Scenario: same sales data, but with a three-level sort:
  1. Region (column 1) — ascending  (groups all rows by region, A-Z)
  2. Revenue (column 3) — descending  (within each region, biggest sales first)
  3. Product (column 2) — ascending  (tiebreaker for ties on Revenue)
This is a typical 'grouped report' sort — every region gets its own block, and within each block the rows are ordered by revenue.</t>
  </si>
  <si>
    <t>RWSORT formula — three-level sort</t>
  </si>
  <si>
    <t>The formula sorts A7:D18 by column 1 (Region) ascending, then column 3 (Revenue) descending, then column 2 (Product) ascending. Each sort level has its own pair of arguments: (column index, sort order).</t>
  </si>
  <si>
    <t>=RWSORT(A7:D18, 1, TRUE, 3, FALSE, 2, TRUE)</t>
  </si>
  <si>
    <t>After Reportworq runs, rows 7-18 of the LEFT side will be reordered as shown on the RIGHT. Region groups appear alphabetically (APAC, EMEA, LATAM, North America). Within each region, rows are ordered by Revenue descending — so the highest-revenue row of each region anchors the top of its block. The Product tiebreaker is included but rarely fires here since revenues are mostly unique. Expected first-row of each region group: APAC: starts with Services ($61,500); EMEA: starts with Services ($41,200); LATAM: starts with Widgets ($8,900); North America: starts with Services ($72,800).</t>
  </si>
  <si>
    <t>TOP 5 by Revenue</t>
  </si>
  <si>
    <t>BOTTOM 3 by Revenue</t>
  </si>
  <si>
    <t>Customer</t>
  </si>
  <si>
    <t>Orders</t>
  </si>
  <si>
    <t>Acme Corp</t>
  </si>
  <si>
    <t>Beacon Industries</t>
  </si>
  <si>
    <t>Cascade Holdings</t>
  </si>
  <si>
    <t>Delta Systems</t>
  </si>
  <si>
    <t>Echo Group</t>
  </si>
  <si>
    <t>Fortune Partners</t>
  </si>
  <si>
    <t>Gateway Inc</t>
  </si>
  <si>
    <t>Helix Logistics</t>
  </si>
  <si>
    <t>Iris Foods</t>
  </si>
  <si>
    <t>Jasper Co</t>
  </si>
  <si>
    <t>Kestrel LLC</t>
  </si>
  <si>
    <t>Lighthouse Group</t>
  </si>
  <si>
    <t>RWSORT formulas — TOP 5 (left) and BOTTOM 3 (right)</t>
  </si>
  <si>
    <t>LEFT side: sort A7:C18 by column 2 (Revenue) descending, then keep top 5 rows visible.</t>
  </si>
  <si>
    <t>RIGHT side: sort E7:G18 by column 2 (Revenue) ascending, then keep bottom 3 rows visible.</t>
  </si>
  <si>
    <t>=RWSORT(A7:C18, 2, FALSE, "TOP", 5)</t>
  </si>
  <si>
    <t>=RWSORT(E7:G18, 2, TRUE, "BOTTOM", 3)</t>
  </si>
  <si>
    <t>⚠ Important: TOP/BOTTOM HIDES rows, it does NOT delete them. If you unhide rows 12-18 after Reportworq runs the LEFT side, you'll find the bottom 7 customers still there — just hidden from the rendered report. This is by design — the data is preserved.</t>
  </si>
  <si>
    <t>Edge Case — RWSORT + RWSUPPRESS as an alternative to TOP/BOTTOM</t>
  </si>
  <si>
    <t>Scenario: same customer list as the previous sheet, but instead of using TOP/BOTTOM to limit visible rows, we use RWSORT to sort by Revenue descending, then RWSUPPRESS on each data row to remove the rows we don't want.
Why would you do this instead of just =RWSORT(...,"TOP",5)?
  •  TOP/BOTTOM HIDES rows — the data stays in the workbook, just invisible.
  •  RWSUPPRESS in default "delete" mode physically REMOVES the rows. The output file is actually smaller and the underlying data is gone.
  •  RWSUPPRESS gives full conditional control — you can suppress on any expression, not just a top/bottom-N count. (e.g., suppress rows where Revenue &lt; $20,000, or where the customer is in a specific list, etc.)
  •  RWSUPPRESS in "hide" mode reproduces TOP/BOTTOM behavior exactly — useful if you want the conditional flexibility but still want the data preserved.
This sheet shows the two-formula approach: RWSORT in cell A28 sorts the range, then a per-row RWSUPPRESS formula in column E (display) / column F (live) decides whether each row is kept.</t>
  </si>
  <si>
    <t>Customer data + per-row RWSUPPRESS formulas</t>
  </si>
  <si>
    <t>RWSUPPRESS formula (display)</t>
  </si>
  <si>
    <t>RWSUPPRESS formula (live)</t>
  </si>
  <si>
    <t>=RWSUPPRESS(B7&lt;LARGE($B$7:$B$18,5))</t>
  </si>
  <si>
    <t>=RWSUPPRESS(B8&lt;LARGE($B$7:$B$18,5))</t>
  </si>
  <si>
    <t>=RWSUPPRESS(B9&lt;LARGE($B$7:$B$18,5))</t>
  </si>
  <si>
    <t>=RWSUPPRESS(B10&lt;LARGE($B$7:$B$18,5))</t>
  </si>
  <si>
    <t>=RWSUPPRESS(B11&lt;LARGE($B$7:$B$18,5))</t>
  </si>
  <si>
    <t>=RWSUPPRESS(B12&lt;LARGE($B$7:$B$18,5))</t>
  </si>
  <si>
    <t>=RWSUPPRESS(B13&lt;LARGE($B$7:$B$18,5))</t>
  </si>
  <si>
    <t>=RWSUPPRESS(B14&lt;LARGE($B$7:$B$18,5))</t>
  </si>
  <si>
    <t>=RWSUPPRESS(B15&lt;LARGE($B$7:$B$18,5))</t>
  </si>
  <si>
    <t>=RWSUPPRESS(B16&lt;LARGE($B$7:$B$18,5))</t>
  </si>
  <si>
    <t>=RWSUPPRESS(B17&lt;LARGE($B$7:$B$18,5))</t>
  </si>
  <si>
    <t>=RWSUPPRESS(B18&lt;LARGE($B$7:$B$18,5))</t>
  </si>
  <si>
    <t>Step 1: RWSORT formula — sorts the range by Revenue descending</t>
  </si>
  <si>
    <t>The RWSORT formula sorts A7:C18 by Revenue (column 2) descending. After this fires, Acme Corp ($82,500) is no longer in row 7 — Cascade Holdings ($95,400) is. Each row's RWSUPPRESS formula moves WITH that row when sorting.</t>
  </si>
  <si>
    <t>=RWSORT(A7:C18, 2, FALSE)</t>
  </si>
  <si>
    <t>Step 2: RWSUPPRESS formulas — each row decides whether it stays or goes</t>
  </si>
  <si>
    <t>Each data row (rows 7-18) has its own RWSUPPRESS formula in columns E and F. The condition B{r}&lt;LARGE($B$7:$B$18,5) evaluates to TRUE on any row whose Revenue is below the 5th-largest Revenue in the range — those rows get suppressed. Default mode is "delete", so the suppressed rows are physically removed from the output file (not just hidden).
The 5th-largest Revenue in this dataset is $51,200 (Helix Logistics). So any customer with Revenue &lt; $51,200 will be suppressed: Beacon Industries, Delta Systems, Echo Group, Gateway Inc, Iris Foods, Jasper Co, Kestrel LLC. That's 7 rows suppressed, 5 rows kept — same VISIBLE result as TOP 5, but the suppressed rows are GONE rather than hidden.</t>
  </si>
  <si>
    <t>After Reportworq runs both formulas, the data range A7:C18 will be:
  1.  Sorted by Revenue descending (RWSORT step).
  2.  Reduced to only the top 5 rows (RWSUPPRESS step deletes rows where Revenue &lt; 5th-largest).
Final result — these 5 rows visible in order:
  Row 7:  Cascade Holdings — $95,400
  Row 8:  Acme Corp — $82,500
  Row 9:  Lighthouse Group — $76,200
  Row 10: Fortune Partners — $67,900
  Row 11: Helix Logistics — $51,200
These 7 rows DELETED (not hidden — actually removed):
  Kestrel LLC ($45,600); Delta Systems ($34,800); Iris Foods ($29,400); Beacon Industries ($12,300); Gateway Inc ($8,700); Echo Group ($4,200); Jasper Co ($3,100)</t>
  </si>
  <si>
    <t>Comparison: when to use which approach</t>
  </si>
  <si>
    <t>Need</t>
  </si>
  <si>
    <t>Use this approach</t>
  </si>
  <si>
    <t>Reason</t>
  </si>
  <si>
    <t>Just want top/bottom N — preserve all data</t>
  </si>
  <si>
    <t>=RWSORT(..., "TOP", N)</t>
  </si>
  <si>
    <t>Simplest one-formula solution. Hidden rows preserved in case needed later.</t>
  </si>
  <si>
    <t>Want top/bottom N AND smaller output file</t>
  </si>
  <si>
    <t>RWSORT + RWSUPPRESS in default "delete" mode</t>
  </si>
  <si>
    <t>Physically removes the unwanted rows. Output file is smaller; data is gone.</t>
  </si>
  <si>
    <t>Same as above but want hide behavior</t>
  </si>
  <si>
    <t>RWSORT + RWSUPPRESS with "hide" mode</t>
  </si>
  <si>
    <t>RWSUPPRESS(condition, "rows", "hide") matches TOP/BOTTOM behavior — but with arbitrary condition.</t>
  </si>
  <si>
    <t>Conditional suppression beyond a top-N count</t>
  </si>
  <si>
    <t>RWSORT + RWSUPPRESS with custom condition</t>
  </si>
  <si>
    <t>TOP/BOTTOM only takes a count. RWSUPPRESS takes any boolean — e.g., suppress rows where Revenue &lt; $20K, or where the customer name is in an exclusion list.</t>
  </si>
  <si>
    <t>Need to sort but keep all rows visible</t>
  </si>
  <si>
    <t>Just RWSORT — no suppression</t>
  </si>
  <si>
    <t>RWSORT alone reorders without hiding or deleting anything.</t>
  </si>
  <si>
    <t>Variation: same logic but with "hide" mode (matches TOP/BOTTOM behavior)</t>
  </si>
  <si>
    <t>If you want the SAME "top 5" outcome as the TOP/BOTTOM approach but with conditional flexibility, change the RWSUPPRESS Mode argument to "hide":
   =RWSUPPRESS(B7&lt;LARGE($B$7:$B$18,5), "rows", "hide")
Now the rows below the 5th-largest revenue are HIDDEN (still in the workbook, just invisible) instead of deleted. This reproduces TOP/BOTTOM behavior exactly — but the condition can be anything you want, not just a count.</t>
  </si>
  <si>
    <t>light blue = the sort range (the data RWSORT will reorder).</t>
  </si>
  <si>
    <t>green tint = live formula cells (Excel shows #NAME?, Reportworq evaluates them at runtime).</t>
  </si>
  <si>
    <t>amber tint = expected outcome (what Reportworq should produce when both formulas run).</t>
  </si>
  <si>
    <t>Excel Table Sort — referencing a named table instead of a range</t>
  </si>
  <si>
    <t>Scenario: same sales data, but this time the data lives in an Excel TABLE called "SalesTable" instead of a plain cell range. RWSORT can target a table by name — handy because the table's boundaries automatically expand or shrink as data is added or removed.
How it works in a real workbook:
  1. Select the data range and use Insert → Table to convert it to an Excel table.
  2. Give the table a name in the Table Design tab (default would be "Table1").
  3. Reference that table name as the first argument to RWSORT instead of a cell range.
Note: openpyxl creates real Excel tables with limitations, so for this demo the data below is a regular range (with the table's expected name shown). The formula syntax is what matters.</t>
  </si>
  <si>
    <t>Sample sales data (would be inside SalesTable in production)</t>
  </si>
  <si>
    <t>RWSORT formulas using table names</t>
  </si>
  <si>
    <t>=RWSORT("SalesTable")</t>
  </si>
  <si>
    <t>Sort SalesTable by its first column ascending (the most compact form).</t>
  </si>
  <si>
    <t>=RWSORT("SalesTable", 3, FALSE)</t>
  </si>
  <si>
    <t>Sort SalesTable by its third column (Revenue) descending.</t>
  </si>
  <si>
    <t>=RWSORT("SalesTable", 1, TRUE, 3, FALSE)</t>
  </si>
  <si>
    <t>Two-level: sort SalesTable by Region ascending, then Revenue descending within each region.</t>
  </si>
  <si>
    <t>=RWSORT("SalesTable", 3, FALSE, "TOP", 5)</t>
  </si>
  <si>
    <t>Sort SalesTable by Revenue descending, keep top 5 rows visible (hide the rest).</t>
  </si>
  <si>
    <t>=RWSORT("SalesTable", 1, TRUE, 2, TRUE, 3, FALSE)</t>
  </si>
  <si>
    <t>Three-level: Region asc, then Product asc, then Revenue desc.</t>
  </si>
  <si>
    <t>Tip: Table names are case-sensitive in some implementations. Match the exact name shown in Excel's Name Box or Table Design ribbon (e.g., "SalesTable", not "salestable"). The table name must be wrapped in double quotes.</t>
  </si>
  <si>
    <t>Expected outcome</t>
  </si>
  <si>
    <t>Because openpyxl can't easily create the Excel table object that the live formulas above reference, the live cells WILL fail with a Reportworq error if you run this sheet as-is — the table 'SalesTable' doesn't actually exist. To test these formulas: open the sheet in Excel, convert the data range A6:D14 into a table (Insert → Table), name the table 'SalesTable' (Table Design → Table Name), then run through Reportworq.</t>
  </si>
  <si>
    <t>Common Mistakes &amp; Pitfalls</t>
  </si>
  <si>
    <t>These are the issues that most often show up the first time someone uses RWSORT in a real Reportworq job. Knowing them up front saves a lot of debugging.</t>
  </si>
  <si>
    <t>Mistake</t>
  </si>
  <si>
    <t>Why it fails</t>
  </si>
  <si>
    <t>Fix</t>
  </si>
  <si>
    <t>Column index off-by-one</t>
  </si>
  <si>
    <t>Using the absolute column letter (A=1, B=2, C=3, etc.) when the sort range doesn't start at column A. Sort Column is 1-based RELATIVE to the range, not the worksheet. If your range is C5:G50, column 1 is C, column 2 is D, etc.</t>
  </si>
  <si>
    <t>Always count column indexes from the FIRST column of the range you passed in. Test with a small range first to confirm which column the sort actually targeted.</t>
  </si>
  <si>
    <t>Forgetting N after TOP/BOTTOM</t>
  </si>
  <si>
    <t>Writing =RWSORT(A1:D30, 1, TRUE, "TOP") without the count N. The function won't know how many rows to keep.</t>
  </si>
  <si>
    <t>TOP/BOTTOM is always followed by N: =RWSORT(A1:D30, 1, TRUE, "TOP", 5). The N argument is required whenever TOP or BOTTOM is provided.</t>
  </si>
  <si>
    <t>Sort order confusion (TRUE = ascending)</t>
  </si>
  <si>
    <t>Reading TRUE as "do the sort" and FALSE as "don't sort". The Sort Order argument is direction, not enable.</t>
  </si>
  <si>
    <t>TRUE = ascending (A-Z, smallest first). FALSE = descending (Z-A, largest first). The default is TRUE.</t>
  </si>
  <si>
    <t>Including header row in the range</t>
  </si>
  <si>
    <t>Passing A1:D30 when row 1 is a header row. RWSORT will treat row 1 as data and may sort the header into the middle of the data.</t>
  </si>
  <si>
    <t>For RANGE references, exclude the header row: A2:D30. For TABLE references, the header is automatically excluded — Excel tables track their own header row.</t>
  </si>
  <si>
    <t>Expecting TOP/BOTTOM to delete rows</t>
  </si>
  <si>
    <t>Treating "TOP 5" as a destructive operation. The hidden rows are still in the workbook and will reappear if someone unhides them.</t>
  </si>
  <si>
    <t>TOP/BOTTOM HIDES rows. If you genuinely need to delete the rows beyond N, run the report through a second post-processing step or remove them in the source data before RWSORT.</t>
  </si>
  <si>
    <t>Sort range overlaps the formula cell</t>
  </si>
  <si>
    <t>Placing the RWSORT formula INSIDE the range it's supposed to sort.</t>
  </si>
  <si>
    <t>Place the formula well clear of the sort range — typically below or to the side. The formula's placement does not affect the sort outcome, but putting the formula inside the range can make the sort behavior unpredictable.</t>
  </si>
  <si>
    <t>Sorting a range with merged cells</t>
  </si>
  <si>
    <t>Merged cells inside the sort range can cause unexpected behavior or errors.</t>
  </si>
  <si>
    <t>Avoid merged cells inside data ranges that will be sorted. If you need merged cells for visual grouping, do that AFTER the sort (in a post-processing step) or use formatting tricks like centered text instead.</t>
  </si>
  <si>
    <t>Using Excel SORT() instead of RWSORT()</t>
  </si>
  <si>
    <t>Excel's built-in SORT function (introduced in Excel 365) returns a sorted COPY in a different cell — it doesn't reorder the original data. Reportworq users sometimes confuse the two.</t>
  </si>
  <si>
    <t>Use RWSORT when you want the actual data range physically reordered. Use SORT only when you want a sorted view in a different location while preserving the original order.</t>
  </si>
  <si>
    <t>Testing only in Excel, not Reportworq</t>
  </si>
  <si>
    <t>Excel renders RWSORT as a name-error (the Reportworq add-in function is not registered with Excel itself).</t>
  </si>
  <si>
    <t>That's normal and expected — the live-formula columns in this workbook show #NAME? in Excel. The sort is performed when Reportworq processes the file at runtime — test through Reportworq's Test Job UI.</t>
  </si>
  <si>
    <t>After Reportworq runs, rows 7-18 of E7:G18 are sorted by Revenue ascending. Rows 7-9 will show the bottom 3 customers (smallest revenue first): Jasper Co ($3,100); Echo Group ($4,200); Gateway Inc ($8,700). Rows 10-18 are HIDDEN.</t>
  </si>
  <si>
    <t>Scenario: a customer revenue list with 12 customers. Two demos:
  • Top 5 customers by Revenue — for an exec summary.
IMPORTANT: TOP/BOTTOM HIDES rows, it does NOT delete them. The data is still in the workbook, just invisible in the rendered output. The faded gray rows in the expected-result tables show which rows would be hidden.</t>
  </si>
  <si>
    <t xml:space="preserve"> After Reportworq runs, rows 7-18 of A7:C18 are sorted by Revenue descending. Rows 7-11 will show the top 5 customers (in order): Cascade Holdings ($95,400); Acme Corp ($82,500); Lighthouse Group ($76,200); Fortune Partners ($67,900); Helix Logistics ($51,200). Rows 12-18 are HIDDEN — the data is still there but invisible.</t>
  </si>
  <si>
    <t>Scenario: a customer revenue list with 12 customers. Two demos:
  •  Bottom 3 customers by Revenue — for an at-risk review.
IMPORTANT: TOP/BOTTOM HIDES rows, it does NOT delete them. The data is still in the workbook, just invisible in the rendered output. The faded gray rows in the expected-result tables show which rows would be hidden.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</si>
</sst>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2" x14ac:knownFonts="1">
    <font>
      <sz val="11"/>
      <color theme="1"/>
      <name val="Calibri"/>
      <family val="2"/>
      <charset val="1"/>
    </font>
    <font>
      <b/>
      <sz val="16"/>
      <color rgb="FFFFFFFF"/>
      <name val="Arial"/>
      <family val="2"/>
    </font>
    <font>
      <b/>
      <sz val="11"/>
      <color rgb="FF000000"/>
      <name val="Arial"/>
      <family val="2"/>
    </font>
    <font>
      <sz val="10"/>
      <name val="Arial"/>
      <family val="2"/>
    </font>
    <font>
      <b/>
      <sz val="12"/>
      <color rgb="FFFFFFFF"/>
      <name val="Arial"/>
      <family val="2"/>
    </font>
    <font>
      <b/>
      <sz val="11"/>
      <color rgb="FFFFFFFF"/>
      <name val="Arial"/>
      <family val="2"/>
    </font>
    <font>
      <b/>
      <sz val="10"/>
      <name val="Arial"/>
      <family val="2"/>
    </font>
    <font>
      <i/>
      <sz val="10"/>
      <color rgb="FF0070C0"/>
      <name val="Arial"/>
      <family val="2"/>
    </font>
    <font>
      <sz val="10"/>
      <color rgb="FF375623"/>
      <name val="Arial"/>
      <family val="2"/>
    </font>
    <font>
      <i/>
      <sz val="10"/>
      <color rgb="FF595959"/>
      <name val="Arial"/>
      <family val="2"/>
    </font>
    <font>
      <sz val="10"/>
      <color rgb="FF7F6000"/>
      <name val="Arial"/>
      <family val="2"/>
    </font>
    <font>
      <b/>
      <sz val="10"/>
      <color rgb="FF9C0006"/>
      <name val="Arial"/>
      <family val="2"/>
    </font>
  </fonts>
  <fills count="11">
    <fill>
      <patternFill patternType="none"/>
    </fill>
    <fill>
      <patternFill patternType="gray125"/>
    </fill>
    <fill>
      <patternFill patternType="solid">
        <fgColor rgb="FF1F4E78"/>
        <bgColor rgb="FF003366"/>
      </patternFill>
    </fill>
    <fill>
      <patternFill patternType="solid">
        <fgColor rgb="FFD9E1F2"/>
        <bgColor rgb="FFDDEBF7"/>
      </patternFill>
    </fill>
    <fill>
      <patternFill patternType="solid">
        <fgColor rgb="FF2E75B6"/>
        <bgColor rgb="FF4472C4"/>
      </patternFill>
    </fill>
    <fill>
      <patternFill patternType="solid">
        <fgColor rgb="FF4472C4"/>
        <bgColor rgb="FF2E75B6"/>
      </patternFill>
    </fill>
    <fill>
      <patternFill patternType="solid">
        <fgColor rgb="FFFFF2CC"/>
        <bgColor rgb="FFE2EFDA"/>
      </patternFill>
    </fill>
    <fill>
      <patternFill patternType="solid">
        <fgColor rgb="FF548235"/>
        <bgColor rgb="FF595959"/>
      </patternFill>
    </fill>
    <fill>
      <patternFill patternType="solid">
        <fgColor rgb="FFE2EFDA"/>
        <bgColor rgb="FFDDEBF7"/>
      </patternFill>
    </fill>
    <fill>
      <patternFill patternType="solid">
        <fgColor rgb="FFDDEBF7"/>
        <bgColor rgb="FFD9E1F2"/>
      </patternFill>
    </fill>
    <fill>
      <patternFill patternType="solid">
        <fgColor rgb="FFFFC7CE"/>
        <bgColor rgb="FFD9E1F2"/>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1">
    <xf numFmtId="0" fontId="0" fillId="0" borderId="0"/>
  </cellStyleXfs>
  <cellXfs count="46">
    <xf numFmtId="0" fontId="0" fillId="0" borderId="0" xfId="0"/>
    <xf numFmtId="0" fontId="3" fillId="0" borderId="1" xfId="0" applyFont="1" applyBorder="1" applyAlignment="1">
      <alignment vertical="center" wrapText="1"/>
    </xf>
    <xf numFmtId="0" fontId="5" fillId="5" borderId="1" xfId="0" applyFont="1" applyFill="1" applyBorder="1" applyAlignment="1">
      <alignment horizontal="center" vertical="center" wrapText="1"/>
    </xf>
    <xf numFmtId="0" fontId="11" fillId="10" borderId="1" xfId="0" applyFont="1" applyFill="1" applyBorder="1" applyAlignment="1">
      <alignment vertical="center" wrapText="1"/>
    </xf>
    <xf numFmtId="0" fontId="3" fillId="0" borderId="0" xfId="0" applyFont="1" applyAlignment="1">
      <alignment vertical="center" wrapText="1"/>
    </xf>
    <xf numFmtId="0" fontId="10" fillId="6" borderId="1" xfId="0" applyFont="1" applyFill="1" applyBorder="1" applyAlignment="1">
      <alignment vertical="center" wrapText="1"/>
    </xf>
    <xf numFmtId="0" fontId="8" fillId="8" borderId="1" xfId="0" applyFont="1" applyFill="1" applyBorder="1" applyAlignment="1">
      <alignment vertical="center" wrapText="1"/>
    </xf>
    <xf numFmtId="0" fontId="7" fillId="0" borderId="1" xfId="0" applyFont="1" applyBorder="1" applyAlignment="1">
      <alignment vertical="center" wrapText="1"/>
    </xf>
    <xf numFmtId="0" fontId="5" fillId="7" borderId="1" xfId="0" applyFont="1" applyFill="1" applyBorder="1" applyAlignment="1">
      <alignment horizontal="center" vertical="center"/>
    </xf>
    <xf numFmtId="0" fontId="5" fillId="5" borderId="1" xfId="0" applyFont="1" applyFill="1" applyBorder="1" applyAlignment="1">
      <alignment horizontal="center" vertical="center"/>
    </xf>
    <xf numFmtId="0" fontId="4" fillId="4" borderId="1" xfId="0" applyFont="1" applyFill="1" applyBorder="1" applyAlignment="1">
      <alignment horizontal="center" vertical="center"/>
    </xf>
    <xf numFmtId="0" fontId="9" fillId="0" borderId="0" xfId="0" applyFont="1" applyAlignment="1">
      <alignment vertical="top" wrapText="1"/>
    </xf>
    <xf numFmtId="0" fontId="3" fillId="0" borderId="0" xfId="0" applyFont="1" applyAlignment="1">
      <alignment vertical="top" wrapText="1"/>
    </xf>
    <xf numFmtId="0" fontId="4" fillId="4" borderId="0" xfId="0" applyFont="1" applyFill="1" applyAlignment="1">
      <alignment horizontal="left" vertical="center" indent="1"/>
    </xf>
    <xf numFmtId="0" fontId="1" fillId="2" borderId="0" xfId="0" applyFont="1" applyFill="1" applyAlignment="1">
      <alignment horizontal="center" vertical="center"/>
    </xf>
    <xf numFmtId="0" fontId="2" fillId="3" borderId="1" xfId="0" applyFont="1" applyFill="1" applyBorder="1" applyAlignment="1">
      <alignment horizontal="left" vertical="top" indent="1"/>
    </xf>
    <xf numFmtId="0" fontId="3" fillId="0" borderId="1" xfId="0" applyFont="1" applyBorder="1" applyAlignment="1">
      <alignment horizontal="left" vertical="top" wrapText="1"/>
    </xf>
    <xf numFmtId="0" fontId="5" fillId="5" borderId="1" xfId="0" applyFont="1" applyFill="1" applyBorder="1" applyAlignment="1">
      <alignment horizontal="center" vertical="center" wrapText="1"/>
    </xf>
    <xf numFmtId="0" fontId="6" fillId="6" borderId="1" xfId="0" applyFont="1" applyFill="1" applyBorder="1" applyAlignment="1">
      <alignment vertical="center" indent="1"/>
    </xf>
    <xf numFmtId="0" fontId="3" fillId="0" borderId="1" xfId="0" applyFont="1" applyBorder="1" applyAlignment="1">
      <alignment vertical="center" wrapText="1"/>
    </xf>
    <xf numFmtId="0" fontId="5" fillId="7" borderId="1" xfId="0" applyFont="1" applyFill="1" applyBorder="1" applyAlignment="1">
      <alignment horizontal="center" vertical="center" wrapText="1"/>
    </xf>
    <xf numFmtId="0" fontId="7" fillId="0" borderId="1" xfId="0" applyFont="1" applyBorder="1" applyAlignment="1">
      <alignment vertical="center" wrapText="1"/>
    </xf>
    <xf numFmtId="0" fontId="8" fillId="8" borderId="1" xfId="0" applyFont="1" applyFill="1" applyBorder="1" applyAlignment="1">
      <alignment vertical="center" wrapText="1"/>
    </xf>
    <xf numFmtId="0" fontId="3" fillId="9" borderId="1" xfId="0" applyFont="1" applyFill="1" applyBorder="1" applyAlignment="1">
      <alignment vertical="center"/>
    </xf>
    <xf numFmtId="164" fontId="3" fillId="9" borderId="1" xfId="0" applyNumberFormat="1" applyFont="1" applyFill="1" applyBorder="1" applyAlignment="1">
      <alignment horizontal="right" vertical="center"/>
    </xf>
    <xf numFmtId="3" fontId="3" fillId="9" borderId="1" xfId="0" applyNumberFormat="1" applyFont="1" applyFill="1" applyBorder="1" applyAlignment="1">
      <alignment horizontal="right" vertical="center"/>
    </xf>
    <xf numFmtId="0" fontId="3" fillId="6" borderId="1" xfId="0" applyFont="1" applyFill="1" applyBorder="1" applyAlignment="1">
      <alignment vertical="center"/>
    </xf>
    <xf numFmtId="164" fontId="3" fillId="6" borderId="1" xfId="0" applyNumberFormat="1" applyFont="1" applyFill="1" applyBorder="1" applyAlignment="1">
      <alignment horizontal="right" vertical="center"/>
    </xf>
    <xf numFmtId="3" fontId="3" fillId="6" borderId="1" xfId="0" applyNumberFormat="1" applyFont="1" applyFill="1" applyBorder="1" applyAlignment="1">
      <alignment horizontal="right" vertical="center"/>
    </xf>
    <xf numFmtId="0" fontId="6" fillId="0" borderId="0" xfId="0" applyFont="1"/>
    <xf numFmtId="0" fontId="0" fillId="9" borderId="1" xfId="0" applyFill="1" applyBorder="1"/>
    <xf numFmtId="0" fontId="0" fillId="6" borderId="1" xfId="0" applyFill="1" applyBorder="1"/>
    <xf numFmtId="0" fontId="0" fillId="8" borderId="1" xfId="0" applyFill="1" applyBorder="1"/>
    <xf numFmtId="0" fontId="6" fillId="0" borderId="1" xfId="0" applyFont="1" applyBorder="1" applyAlignment="1">
      <alignment vertical="center" wrapText="1"/>
    </xf>
    <xf numFmtId="0" fontId="6" fillId="0" borderId="1" xfId="0" applyFont="1" applyBorder="1" applyAlignment="1">
      <alignment vertical="top" wrapText="1"/>
    </xf>
    <xf numFmtId="0" fontId="3" fillId="0" borderId="1" xfId="0" applyFont="1" applyBorder="1" applyAlignment="1">
      <alignment vertical="top" wrapText="1"/>
    </xf>
    <xf numFmtId="0" fontId="9" fillId="0" borderId="1" xfId="0" applyFont="1" applyBorder="1" applyAlignment="1">
      <alignment vertical="center" wrapText="1"/>
    </xf>
    <xf numFmtId="0" fontId="3" fillId="9" borderId="2" xfId="0" applyFont="1" applyFill="1" applyBorder="1" applyAlignment="1">
      <alignment vertical="center"/>
    </xf>
    <xf numFmtId="3" fontId="3" fillId="9" borderId="3" xfId="0" applyNumberFormat="1" applyFont="1" applyFill="1" applyBorder="1" applyAlignment="1">
      <alignment horizontal="right" vertical="center"/>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3" fillId="9" borderId="7" xfId="0" applyFont="1" applyFill="1" applyBorder="1" applyAlignment="1">
      <alignment vertical="center"/>
    </xf>
    <xf numFmtId="0" fontId="3" fillId="9" borderId="8" xfId="0" applyFont="1" applyFill="1" applyBorder="1" applyAlignment="1">
      <alignment vertical="center"/>
    </xf>
    <xf numFmtId="164" fontId="3" fillId="9" borderId="8" xfId="0" applyNumberFormat="1" applyFont="1" applyFill="1" applyBorder="1" applyAlignment="1">
      <alignment horizontal="right" vertical="center"/>
    </xf>
    <xf numFmtId="3" fontId="3" fillId="9" borderId="9" xfId="0" applyNumberFormat="1" applyFont="1" applyFill="1" applyBorder="1" applyAlignment="1">
      <alignment horizontal="right" vertical="center"/>
    </xf>
  </cellXfs>
  <cellStyles count="1">
    <cellStyle name="Normal" xfId="0" builtinId="0"/>
  </cellStyles>
  <dxfs count="8">
    <dxf>
      <font>
        <b/>
        <i val="0"/>
        <strike val="0"/>
        <condense val="0"/>
        <extend val="0"/>
        <outline val="0"/>
        <shadow val="0"/>
        <u val="none"/>
        <vertAlign val="baseline"/>
        <sz val="11"/>
        <color rgb="FFFFFFFF"/>
        <name val="Arial"/>
        <family val="2"/>
        <scheme val="none"/>
      </font>
      <fill>
        <patternFill patternType="solid">
          <fgColor rgb="FF2E75B6"/>
          <bgColor rgb="FF4472C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family val="2"/>
        <scheme val="none"/>
      </font>
      <numFmt numFmtId="3" formatCode="#,##0"/>
      <fill>
        <patternFill patternType="solid">
          <fgColor rgb="FFD9E1F2"/>
          <bgColor rgb="FFDDEBF7"/>
        </patternFill>
      </fill>
      <alignment horizontal="right" vertical="center" textRotation="0" wrapText="0"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164" formatCode="\$#,##0"/>
      <fill>
        <patternFill patternType="solid">
          <fgColor rgb="FFD9E1F2"/>
          <bgColor rgb="FFDDEBF7"/>
        </patternFill>
      </fill>
      <alignment horizontal="right"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fill>
        <patternFill patternType="solid">
          <fgColor rgb="FFD9E1F2"/>
          <bgColor rgb="FFDDEBF7"/>
        </patternFill>
      </fill>
      <alignment horizontal="general"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fill>
        <patternFill patternType="solid">
          <fgColor rgb="FFD9E1F2"/>
          <bgColor rgb="FFDDEBF7"/>
        </patternFill>
      </fill>
      <alignment horizontal="general"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2E75B6"/>
      <rgbColor rgb="FFBFBFBF"/>
      <rgbColor rgb="FF808080"/>
      <rgbColor rgb="FF9999FF"/>
      <rgbColor rgb="FF993366"/>
      <rgbColor rgb="FFFFF2CC"/>
      <rgbColor rgb="FFDDEBF7"/>
      <rgbColor rgb="FF660066"/>
      <rgbColor rgb="FFFF8080"/>
      <rgbColor rgb="FF0070C0"/>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7CE"/>
      <rgbColor rgb="FF4472C4"/>
      <rgbColor rgb="FF33CCCC"/>
      <rgbColor rgb="FF99CC00"/>
      <rgbColor rgb="FFFFCC00"/>
      <rgbColor rgb="FFFF9900"/>
      <rgbColor rgb="FFFF6600"/>
      <rgbColor rgb="FF595959"/>
      <rgbColor rgb="FF969696"/>
      <rgbColor rgb="FF003366"/>
      <rgbColor rgb="FF548235"/>
      <rgbColor rgb="FF003300"/>
      <rgbColor rgb="FF333300"/>
      <rgbColor rgb="FF993300"/>
      <rgbColor rgb="FF993366"/>
      <rgbColor rgb="FF1F4E78"/>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1FB55F-ACE3-4519-B0E8-5279EFF0A88D}" name="SalesTable" displayName="SalesTable" ref="A6:D14" totalsRowShown="0" headerRowDxfId="0" headerRowBorderDxfId="6" tableBorderDxfId="7" totalsRowBorderDxfId="5">
  <autoFilter ref="A6:D14" xr:uid="{301FB55F-ACE3-4519-B0E8-5279EFF0A88D}"/>
  <tableColumns count="4">
    <tableColumn id="1" xr3:uid="{83415F54-9254-485D-8CC5-B8816248D3E6}" name="Region" dataDxfId="4"/>
    <tableColumn id="2" xr3:uid="{60639AF2-25A7-43D0-AA09-AEB5871FA977}" name="Product" dataDxfId="3"/>
    <tableColumn id="3" xr3:uid="{690B2014-4362-48F8-8712-548C51C7F23F}" name="Revenue" dataDxfId="2"/>
    <tableColumn id="4" xr3:uid="{E0912AEC-F0CD-496C-9DC6-26D56E12B38F}" name="Unit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zoomScaleNormal="100" workbookViewId="0">
      <selection sqref="A1:B1"/>
    </sheetView>
  </sheetViews>
  <sheetFormatPr defaultColWidth="8.7109375" defaultRowHeight="15" x14ac:dyDescent="0.25"/>
  <cols>
    <col min="1" max="1" width="22" customWidth="1"/>
    <col min="2" max="2" width="95" customWidth="1"/>
  </cols>
  <sheetData>
    <row r="1" spans="1:2" ht="30" customHeight="1" x14ac:dyDescent="0.25">
      <c r="A1" s="14" t="s">
        <v>0</v>
      </c>
      <c r="B1" s="14"/>
    </row>
    <row r="3" spans="1:2" ht="49.5" customHeight="1" x14ac:dyDescent="0.25">
      <c r="A3" s="15" t="s">
        <v>1</v>
      </c>
      <c r="B3" s="16" t="s">
        <v>2</v>
      </c>
    </row>
    <row r="4" spans="1:2" ht="49.5" customHeight="1" x14ac:dyDescent="0.25">
      <c r="A4" s="15" t="s">
        <v>3</v>
      </c>
      <c r="B4" s="16" t="s">
        <v>4</v>
      </c>
    </row>
    <row r="5" spans="1:2" ht="49.5" customHeight="1" x14ac:dyDescent="0.25">
      <c r="A5" s="15" t="s">
        <v>5</v>
      </c>
      <c r="B5" s="16" t="s">
        <v>6</v>
      </c>
    </row>
    <row r="6" spans="1:2" ht="49.5" customHeight="1" x14ac:dyDescent="0.25">
      <c r="A6" s="15" t="s">
        <v>7</v>
      </c>
      <c r="B6" s="16" t="s">
        <v>8</v>
      </c>
    </row>
    <row r="7" spans="1:2" ht="49.5" customHeight="1" x14ac:dyDescent="0.25">
      <c r="A7" s="15" t="s">
        <v>9</v>
      </c>
      <c r="B7" s="16" t="s">
        <v>10</v>
      </c>
    </row>
    <row r="8" spans="1:2" ht="49.5" customHeight="1" x14ac:dyDescent="0.25">
      <c r="A8" s="15" t="s">
        <v>11</v>
      </c>
      <c r="B8" s="16" t="s">
        <v>12</v>
      </c>
    </row>
    <row r="9" spans="1:2" ht="49.5" customHeight="1" x14ac:dyDescent="0.25">
      <c r="A9" s="15" t="s">
        <v>13</v>
      </c>
      <c r="B9" s="16" t="s">
        <v>14</v>
      </c>
    </row>
    <row r="10" spans="1:2" ht="49.5" customHeight="1" x14ac:dyDescent="0.25">
      <c r="A10" s="15" t="s">
        <v>15</v>
      </c>
      <c r="B10" s="16" t="s">
        <v>16</v>
      </c>
    </row>
    <row r="11" spans="1:2" ht="49.5" customHeight="1" x14ac:dyDescent="0.25">
      <c r="A11" s="15" t="s">
        <v>17</v>
      </c>
      <c r="B11" s="16" t="s">
        <v>18</v>
      </c>
    </row>
    <row r="12" spans="1:2" ht="49.5" customHeight="1" x14ac:dyDescent="0.25">
      <c r="A12" s="15" t="s">
        <v>19</v>
      </c>
      <c r="B12" s="16" t="s">
        <v>20</v>
      </c>
    </row>
    <row r="13" spans="1:2" ht="49.5" customHeight="1" x14ac:dyDescent="0.25">
      <c r="A13" s="15" t="s">
        <v>21</v>
      </c>
      <c r="B13" s="16" t="s">
        <v>22</v>
      </c>
    </row>
    <row r="14" spans="1:2" ht="49.5" customHeight="1" x14ac:dyDescent="0.25">
      <c r="A14" s="15" t="s">
        <v>23</v>
      </c>
      <c r="B14" s="16" t="s">
        <v>24</v>
      </c>
    </row>
    <row r="16" spans="1:2" ht="21.75" customHeight="1" x14ac:dyDescent="0.25">
      <c r="A16" s="13" t="s">
        <v>25</v>
      </c>
      <c r="B16" s="13"/>
    </row>
    <row r="17" spans="1:2" ht="195" customHeight="1" x14ac:dyDescent="0.25">
      <c r="A17" s="12" t="s">
        <v>26</v>
      </c>
      <c r="B17" s="12"/>
    </row>
    <row r="19" spans="1:2" ht="21.75" customHeight="1" x14ac:dyDescent="0.25">
      <c r="A19" s="13" t="s">
        <v>27</v>
      </c>
      <c r="B19" s="13"/>
    </row>
    <row r="20" spans="1:2" x14ac:dyDescent="0.25">
      <c r="A20" s="17" t="s">
        <v>28</v>
      </c>
      <c r="B20" s="17" t="s">
        <v>29</v>
      </c>
    </row>
    <row r="21" spans="1:2" ht="30" customHeight="1" x14ac:dyDescent="0.25">
      <c r="A21" s="18" t="s">
        <v>30</v>
      </c>
      <c r="B21" s="19" t="s">
        <v>31</v>
      </c>
    </row>
    <row r="22" spans="1:2" ht="30" customHeight="1" x14ac:dyDescent="0.25">
      <c r="A22" s="18" t="s">
        <v>32</v>
      </c>
      <c r="B22" s="19" t="s">
        <v>33</v>
      </c>
    </row>
    <row r="23" spans="1:2" ht="30" customHeight="1" x14ac:dyDescent="0.25">
      <c r="A23" s="18" t="s">
        <v>34</v>
      </c>
      <c r="B23" s="19" t="s">
        <v>35</v>
      </c>
    </row>
    <row r="24" spans="1:2" ht="30" customHeight="1" x14ac:dyDescent="0.25">
      <c r="A24" s="18" t="s">
        <v>36</v>
      </c>
      <c r="B24" s="19" t="s">
        <v>37</v>
      </c>
    </row>
    <row r="25" spans="1:2" ht="30" customHeight="1" x14ac:dyDescent="0.25">
      <c r="A25" s="18" t="s">
        <v>38</v>
      </c>
      <c r="B25" s="19" t="s">
        <v>39</v>
      </c>
    </row>
    <row r="26" spans="1:2" ht="30" customHeight="1" x14ac:dyDescent="0.25">
      <c r="A26" s="18" t="s">
        <v>40</v>
      </c>
      <c r="B26" s="19" t="s">
        <v>41</v>
      </c>
    </row>
    <row r="27" spans="1:2" ht="30" customHeight="1" x14ac:dyDescent="0.25">
      <c r="A27" s="18" t="s">
        <v>42</v>
      </c>
      <c r="B27" s="19" t="s">
        <v>43</v>
      </c>
    </row>
  </sheetData>
  <mergeCells count="4">
    <mergeCell ref="A1:B1"/>
    <mergeCell ref="A16:B16"/>
    <mergeCell ref="A17:B17"/>
    <mergeCell ref="A19:B1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6"/>
  <sheetViews>
    <sheetView zoomScaleNormal="100" workbookViewId="0">
      <selection activeCell="C2" sqref="C1:C1048576"/>
    </sheetView>
  </sheetViews>
  <sheetFormatPr defaultColWidth="8.7109375" defaultRowHeight="15" x14ac:dyDescent="0.25"/>
  <cols>
    <col min="1" max="1" width="5" customWidth="1"/>
    <col min="2" max="2" width="50" customWidth="1"/>
    <col min="3" max="3" width="60" customWidth="1"/>
  </cols>
  <sheetData>
    <row r="1" spans="2:3" ht="27.75" customHeight="1" x14ac:dyDescent="0.25">
      <c r="B1" s="14" t="s">
        <v>44</v>
      </c>
      <c r="C1" s="14"/>
    </row>
    <row r="3" spans="2:3" ht="21.75" customHeight="1" x14ac:dyDescent="0.25">
      <c r="B3" s="13" t="s">
        <v>45</v>
      </c>
      <c r="C3" s="13"/>
    </row>
    <row r="4" spans="2:3" ht="31.5" customHeight="1" x14ac:dyDescent="0.25">
      <c r="B4" s="17" t="s">
        <v>46</v>
      </c>
      <c r="C4" s="17" t="s">
        <v>48</v>
      </c>
    </row>
    <row r="5" spans="2:3" ht="39.75" customHeight="1" x14ac:dyDescent="0.25">
      <c r="B5" s="21" t="s">
        <v>49</v>
      </c>
      <c r="C5" s="19" t="s">
        <v>50</v>
      </c>
    </row>
    <row r="6" spans="2:3" ht="39.75" customHeight="1" x14ac:dyDescent="0.25">
      <c r="B6" s="21" t="s">
        <v>51</v>
      </c>
      <c r="C6" s="19" t="s">
        <v>52</v>
      </c>
    </row>
    <row r="7" spans="2:3" ht="39.75" customHeight="1" x14ac:dyDescent="0.25">
      <c r="B7" s="21" t="s">
        <v>53</v>
      </c>
      <c r="C7" s="19" t="s">
        <v>54</v>
      </c>
    </row>
    <row r="8" spans="2:3" ht="39.75" customHeight="1" x14ac:dyDescent="0.25">
      <c r="B8" s="21" t="s">
        <v>55</v>
      </c>
      <c r="C8" s="19" t="s">
        <v>56</v>
      </c>
    </row>
    <row r="9" spans="2:3" ht="39.75" customHeight="1" x14ac:dyDescent="0.25">
      <c r="B9" s="21" t="s">
        <v>57</v>
      </c>
      <c r="C9" s="19" t="s">
        <v>58</v>
      </c>
    </row>
    <row r="10" spans="2:3" ht="39.75" customHeight="1" x14ac:dyDescent="0.25">
      <c r="B10" s="21" t="s">
        <v>59</v>
      </c>
      <c r="C10" s="19" t="s">
        <v>60</v>
      </c>
    </row>
    <row r="12" spans="2:3" ht="21.75" customHeight="1" x14ac:dyDescent="0.25">
      <c r="B12" s="13" t="s">
        <v>61</v>
      </c>
      <c r="C12" s="13"/>
    </row>
    <row r="13" spans="2:3" ht="31.5" customHeight="1" x14ac:dyDescent="0.25">
      <c r="B13" s="17" t="s">
        <v>46</v>
      </c>
      <c r="C13" s="17" t="s">
        <v>48</v>
      </c>
    </row>
    <row r="14" spans="2:3" ht="39.75" customHeight="1" x14ac:dyDescent="0.25">
      <c r="B14" s="21" t="s">
        <v>62</v>
      </c>
      <c r="C14" s="19" t="s">
        <v>63</v>
      </c>
    </row>
    <row r="15" spans="2:3" ht="39.75" customHeight="1" x14ac:dyDescent="0.25">
      <c r="B15" s="21" t="s">
        <v>64</v>
      </c>
      <c r="C15" s="19" t="s">
        <v>65</v>
      </c>
    </row>
    <row r="16" spans="2:3" ht="39.75" customHeight="1" x14ac:dyDescent="0.25">
      <c r="B16" s="21" t="s">
        <v>66</v>
      </c>
      <c r="C16" s="19" t="s">
        <v>67</v>
      </c>
    </row>
    <row r="17" spans="2:3" ht="39.75" customHeight="1" x14ac:dyDescent="0.25">
      <c r="B17" s="21" t="s">
        <v>68</v>
      </c>
      <c r="C17" s="19" t="s">
        <v>69</v>
      </c>
    </row>
    <row r="19" spans="2:3" ht="21.75" customHeight="1" x14ac:dyDescent="0.25">
      <c r="B19" s="13" t="s">
        <v>70</v>
      </c>
      <c r="C19" s="13"/>
    </row>
    <row r="20" spans="2:3" ht="49.5" customHeight="1" x14ac:dyDescent="0.25">
      <c r="B20" s="12" t="s">
        <v>71</v>
      </c>
      <c r="C20" s="12"/>
    </row>
    <row r="21" spans="2:3" ht="31.5" customHeight="1" x14ac:dyDescent="0.25">
      <c r="B21" s="17" t="s">
        <v>46</v>
      </c>
      <c r="C21" s="17" t="s">
        <v>48</v>
      </c>
    </row>
    <row r="22" spans="2:3" ht="39.75" customHeight="1" x14ac:dyDescent="0.25">
      <c r="B22" s="21" t="s">
        <v>72</v>
      </c>
      <c r="C22" s="19" t="s">
        <v>73</v>
      </c>
    </row>
    <row r="23" spans="2:3" ht="39.75" customHeight="1" x14ac:dyDescent="0.25">
      <c r="B23" s="21" t="s">
        <v>74</v>
      </c>
      <c r="C23" s="19" t="s">
        <v>75</v>
      </c>
    </row>
    <row r="24" spans="2:3" ht="39.75" customHeight="1" x14ac:dyDescent="0.25">
      <c r="B24" s="21" t="s">
        <v>76</v>
      </c>
      <c r="C24" s="19" t="s">
        <v>77</v>
      </c>
    </row>
    <row r="25" spans="2:3" ht="39.75" customHeight="1" x14ac:dyDescent="0.25">
      <c r="B25" s="21" t="s">
        <v>78</v>
      </c>
      <c r="C25" s="19" t="s">
        <v>79</v>
      </c>
    </row>
    <row r="26" spans="2:3" ht="39.75" customHeight="1" x14ac:dyDescent="0.25">
      <c r="B26" s="21" t="s">
        <v>80</v>
      </c>
      <c r="C26" s="19" t="s">
        <v>81</v>
      </c>
    </row>
  </sheetData>
  <mergeCells count="5">
    <mergeCell ref="B1:C1"/>
    <mergeCell ref="B3:C3"/>
    <mergeCell ref="B12:C12"/>
    <mergeCell ref="B19:C19"/>
    <mergeCell ref="B20:C2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2"/>
  <sheetViews>
    <sheetView topLeftCell="A3" zoomScaleNormal="100" workbookViewId="0">
      <selection activeCell="F24" sqref="F24:I24"/>
    </sheetView>
  </sheetViews>
  <sheetFormatPr defaultColWidth="8.7109375" defaultRowHeight="15" x14ac:dyDescent="0.25"/>
  <cols>
    <col min="1" max="1" width="16" customWidth="1"/>
    <col min="2" max="2" width="22" customWidth="1"/>
    <col min="3" max="4" width="14" customWidth="1"/>
    <col min="5" max="5" width="5" customWidth="1"/>
    <col min="6" max="6" width="16" customWidth="1"/>
    <col min="7" max="7" width="22" customWidth="1"/>
    <col min="8" max="9" width="14" customWidth="1"/>
  </cols>
  <sheetData>
    <row r="1" spans="1:9" ht="27.75" customHeight="1" x14ac:dyDescent="0.25">
      <c r="A1" s="14" t="s">
        <v>82</v>
      </c>
      <c r="B1" s="14"/>
      <c r="C1" s="14"/>
      <c r="D1" s="14"/>
      <c r="E1" s="14"/>
      <c r="F1" s="14"/>
      <c r="G1" s="14"/>
      <c r="H1" s="14"/>
      <c r="I1" s="14"/>
    </row>
    <row r="3" spans="1:9" ht="129.75" customHeight="1" x14ac:dyDescent="0.25">
      <c r="A3" s="11" t="s">
        <v>83</v>
      </c>
      <c r="B3" s="11"/>
      <c r="C3" s="11"/>
      <c r="D3" s="11"/>
      <c r="E3" s="11"/>
      <c r="F3" s="11"/>
      <c r="G3" s="11"/>
      <c r="H3" s="11"/>
      <c r="I3" s="11"/>
    </row>
    <row r="5" spans="1:9" ht="21.75" customHeight="1" x14ac:dyDescent="0.25">
      <c r="A5" s="10" t="s">
        <v>84</v>
      </c>
      <c r="B5" s="10"/>
      <c r="C5" s="10"/>
      <c r="D5" s="10"/>
      <c r="F5" s="10" t="s">
        <v>85</v>
      </c>
      <c r="G5" s="10"/>
      <c r="H5" s="10"/>
      <c r="I5" s="10"/>
    </row>
    <row r="6" spans="1:9" ht="24" customHeight="1" x14ac:dyDescent="0.25">
      <c r="A6" s="17" t="s">
        <v>86</v>
      </c>
      <c r="B6" s="17" t="s">
        <v>87</v>
      </c>
      <c r="C6" s="17" t="s">
        <v>88</v>
      </c>
      <c r="D6" s="17" t="s">
        <v>89</v>
      </c>
      <c r="F6" s="17" t="s">
        <v>86</v>
      </c>
      <c r="G6" s="17" t="s">
        <v>87</v>
      </c>
      <c r="H6" s="17" t="s">
        <v>88</v>
      </c>
      <c r="I6" s="17" t="s">
        <v>89</v>
      </c>
    </row>
    <row r="7" spans="1:9" x14ac:dyDescent="0.25">
      <c r="A7" s="23" t="s">
        <v>90</v>
      </c>
      <c r="B7" s="23" t="s">
        <v>91</v>
      </c>
      <c r="C7" s="24">
        <v>45200</v>
      </c>
      <c r="D7" s="25">
        <v>1240</v>
      </c>
      <c r="F7" s="26" t="s">
        <v>90</v>
      </c>
      <c r="G7" s="26" t="s">
        <v>92</v>
      </c>
      <c r="H7" s="27">
        <v>72800</v>
      </c>
      <c r="I7" s="28">
        <v>150</v>
      </c>
    </row>
    <row r="8" spans="1:9" x14ac:dyDescent="0.25">
      <c r="A8" s="23" t="s">
        <v>93</v>
      </c>
      <c r="B8" s="23" t="s">
        <v>94</v>
      </c>
      <c r="C8" s="24">
        <v>28100</v>
      </c>
      <c r="D8" s="25">
        <v>890</v>
      </c>
      <c r="F8" s="26" t="s">
        <v>95</v>
      </c>
      <c r="G8" s="26" t="s">
        <v>92</v>
      </c>
      <c r="H8" s="27">
        <v>61500</v>
      </c>
      <c r="I8" s="28">
        <v>120</v>
      </c>
    </row>
    <row r="9" spans="1:9" x14ac:dyDescent="0.25">
      <c r="A9" s="23" t="s">
        <v>95</v>
      </c>
      <c r="B9" s="23" t="s">
        <v>92</v>
      </c>
      <c r="C9" s="24">
        <v>61500</v>
      </c>
      <c r="D9" s="25">
        <v>120</v>
      </c>
      <c r="F9" s="26" t="s">
        <v>90</v>
      </c>
      <c r="G9" s="26" t="s">
        <v>91</v>
      </c>
      <c r="H9" s="27">
        <v>45200</v>
      </c>
      <c r="I9" s="28">
        <v>1240</v>
      </c>
    </row>
    <row r="10" spans="1:9" x14ac:dyDescent="0.25">
      <c r="A10" s="23" t="s">
        <v>96</v>
      </c>
      <c r="B10" s="23" t="s">
        <v>91</v>
      </c>
      <c r="C10" s="24">
        <v>8900</v>
      </c>
      <c r="D10" s="25">
        <v>220</v>
      </c>
      <c r="F10" s="26" t="s">
        <v>93</v>
      </c>
      <c r="G10" s="26" t="s">
        <v>92</v>
      </c>
      <c r="H10" s="27">
        <v>41200</v>
      </c>
      <c r="I10" s="28">
        <v>95</v>
      </c>
    </row>
    <row r="11" spans="1:9" x14ac:dyDescent="0.25">
      <c r="A11" s="23" t="s">
        <v>90</v>
      </c>
      <c r="B11" s="23" t="s">
        <v>94</v>
      </c>
      <c r="C11" s="24">
        <v>33700</v>
      </c>
      <c r="D11" s="25">
        <v>870</v>
      </c>
      <c r="F11" s="26" t="s">
        <v>90</v>
      </c>
      <c r="G11" s="26" t="s">
        <v>94</v>
      </c>
      <c r="H11" s="27">
        <v>33700</v>
      </c>
      <c r="I11" s="28">
        <v>870</v>
      </c>
    </row>
    <row r="12" spans="1:9" x14ac:dyDescent="0.25">
      <c r="A12" s="23" t="s">
        <v>93</v>
      </c>
      <c r="B12" s="23" t="s">
        <v>92</v>
      </c>
      <c r="C12" s="24">
        <v>41200</v>
      </c>
      <c r="D12" s="25">
        <v>95</v>
      </c>
      <c r="F12" s="26" t="s">
        <v>93</v>
      </c>
      <c r="G12" s="26" t="s">
        <v>94</v>
      </c>
      <c r="H12" s="27">
        <v>28100</v>
      </c>
      <c r="I12" s="28">
        <v>890</v>
      </c>
    </row>
    <row r="13" spans="1:9" x14ac:dyDescent="0.25">
      <c r="A13" s="23" t="s">
        <v>95</v>
      </c>
      <c r="B13" s="23" t="s">
        <v>91</v>
      </c>
      <c r="C13" s="24">
        <v>17300</v>
      </c>
      <c r="D13" s="25">
        <v>450</v>
      </c>
      <c r="F13" s="26" t="s">
        <v>93</v>
      </c>
      <c r="G13" s="26" t="s">
        <v>91</v>
      </c>
      <c r="H13" s="27">
        <v>22600</v>
      </c>
      <c r="I13" s="28">
        <v>610</v>
      </c>
    </row>
    <row r="14" spans="1:9" x14ac:dyDescent="0.25">
      <c r="A14" s="23" t="s">
        <v>96</v>
      </c>
      <c r="B14" s="23" t="s">
        <v>92</v>
      </c>
      <c r="C14" s="24">
        <v>5400</v>
      </c>
      <c r="D14" s="25">
        <v>18</v>
      </c>
      <c r="F14" s="26" t="s">
        <v>95</v>
      </c>
      <c r="G14" s="26" t="s">
        <v>94</v>
      </c>
      <c r="H14" s="27">
        <v>19500</v>
      </c>
      <c r="I14" s="28">
        <v>520</v>
      </c>
    </row>
    <row r="15" spans="1:9" x14ac:dyDescent="0.25">
      <c r="A15" s="23" t="s">
        <v>90</v>
      </c>
      <c r="B15" s="23" t="s">
        <v>92</v>
      </c>
      <c r="C15" s="24">
        <v>72800</v>
      </c>
      <c r="D15" s="25">
        <v>150</v>
      </c>
      <c r="F15" s="26" t="s">
        <v>95</v>
      </c>
      <c r="G15" s="26" t="s">
        <v>91</v>
      </c>
      <c r="H15" s="27">
        <v>17300</v>
      </c>
      <c r="I15" s="28">
        <v>450</v>
      </c>
    </row>
    <row r="16" spans="1:9" x14ac:dyDescent="0.25">
      <c r="A16" s="23" t="s">
        <v>93</v>
      </c>
      <c r="B16" s="23" t="s">
        <v>91</v>
      </c>
      <c r="C16" s="24">
        <v>22600</v>
      </c>
      <c r="D16" s="25">
        <v>610</v>
      </c>
      <c r="F16" s="26" t="s">
        <v>96</v>
      </c>
      <c r="G16" s="26" t="s">
        <v>91</v>
      </c>
      <c r="H16" s="27">
        <v>8900</v>
      </c>
      <c r="I16" s="28">
        <v>220</v>
      </c>
    </row>
    <row r="17" spans="1:9" x14ac:dyDescent="0.25">
      <c r="A17" s="23" t="s">
        <v>95</v>
      </c>
      <c r="B17" s="23" t="s">
        <v>94</v>
      </c>
      <c r="C17" s="24">
        <v>19500</v>
      </c>
      <c r="D17" s="25">
        <v>520</v>
      </c>
      <c r="F17" s="26" t="s">
        <v>96</v>
      </c>
      <c r="G17" s="26" t="s">
        <v>94</v>
      </c>
      <c r="H17" s="27">
        <v>6700</v>
      </c>
      <c r="I17" s="28">
        <v>180</v>
      </c>
    </row>
    <row r="18" spans="1:9" x14ac:dyDescent="0.25">
      <c r="A18" s="23" t="s">
        <v>96</v>
      </c>
      <c r="B18" s="23" t="s">
        <v>94</v>
      </c>
      <c r="C18" s="24">
        <v>6700</v>
      </c>
      <c r="D18" s="25">
        <v>180</v>
      </c>
      <c r="F18" s="26" t="s">
        <v>96</v>
      </c>
      <c r="G18" s="26" t="s">
        <v>92</v>
      </c>
      <c r="H18" s="27">
        <v>5400</v>
      </c>
      <c r="I18" s="28">
        <v>18</v>
      </c>
    </row>
    <row r="21" spans="1:9" ht="21.75" customHeight="1" x14ac:dyDescent="0.25">
      <c r="A21" s="13" t="s">
        <v>97</v>
      </c>
      <c r="B21" s="13"/>
      <c r="C21" s="13"/>
      <c r="D21" s="13"/>
      <c r="E21" s="13"/>
      <c r="F21" s="13"/>
      <c r="G21" s="13"/>
      <c r="H21" s="13"/>
      <c r="I21" s="13"/>
    </row>
    <row r="22" spans="1:9" ht="49.5" customHeight="1" x14ac:dyDescent="0.25">
      <c r="A22" s="12" t="s">
        <v>98</v>
      </c>
      <c r="B22" s="12"/>
      <c r="C22" s="12"/>
      <c r="D22" s="12"/>
      <c r="E22" s="12"/>
      <c r="F22" s="12"/>
      <c r="G22" s="12"/>
      <c r="H22" s="12"/>
      <c r="I22" s="12"/>
    </row>
    <row r="23" spans="1:9" ht="27.75" customHeight="1" x14ac:dyDescent="0.25">
      <c r="A23" s="9" t="s">
        <v>46</v>
      </c>
      <c r="B23" s="9"/>
      <c r="C23" s="9"/>
      <c r="D23" s="9"/>
      <c r="F23" s="8" t="s">
        <v>47</v>
      </c>
      <c r="G23" s="8"/>
      <c r="H23" s="8"/>
      <c r="I23" s="8"/>
    </row>
    <row r="24" spans="1:9" ht="27.75" customHeight="1" x14ac:dyDescent="0.25">
      <c r="A24" s="7" t="s">
        <v>99</v>
      </c>
      <c r="B24" s="7"/>
      <c r="C24" s="7"/>
      <c r="D24" s="7"/>
      <c r="F24" s="6" t="e">
        <f ca="1">rwsort(A7:D18, 3, FALSE)</f>
        <v>#NAME?</v>
      </c>
      <c r="G24" s="6"/>
      <c r="H24" s="6"/>
      <c r="I24" s="6"/>
    </row>
    <row r="26" spans="1:9" ht="21.75" customHeight="1" x14ac:dyDescent="0.25">
      <c r="A26" s="13" t="s">
        <v>100</v>
      </c>
      <c r="B26" s="13"/>
      <c r="C26" s="13"/>
      <c r="D26" s="13"/>
      <c r="E26" s="13"/>
      <c r="F26" s="13"/>
      <c r="G26" s="13"/>
      <c r="H26" s="13"/>
      <c r="I26" s="13"/>
    </row>
    <row r="27" spans="1:9" ht="60" customHeight="1" x14ac:dyDescent="0.25">
      <c r="A27" s="5" t="s">
        <v>101</v>
      </c>
      <c r="B27" s="5"/>
      <c r="C27" s="5"/>
      <c r="D27" s="5"/>
      <c r="E27" s="5"/>
      <c r="F27" s="5"/>
      <c r="G27" s="5"/>
      <c r="H27" s="5"/>
      <c r="I27" s="5"/>
    </row>
    <row r="29" spans="1:9" x14ac:dyDescent="0.25">
      <c r="A29" s="29" t="s">
        <v>102</v>
      </c>
    </row>
    <row r="30" spans="1:9" ht="15" customHeight="1" x14ac:dyDescent="0.25">
      <c r="A30" s="30"/>
      <c r="B30" s="4" t="s">
        <v>103</v>
      </c>
      <c r="C30" s="4"/>
      <c r="D30" s="4"/>
      <c r="E30" s="4"/>
      <c r="F30" s="4"/>
      <c r="G30" s="4"/>
      <c r="H30" s="4"/>
      <c r="I30" s="4"/>
    </row>
    <row r="31" spans="1:9" ht="15" customHeight="1" x14ac:dyDescent="0.25">
      <c r="A31" s="31"/>
      <c r="B31" s="4" t="s">
        <v>104</v>
      </c>
      <c r="C31" s="4"/>
      <c r="D31" s="4"/>
      <c r="E31" s="4"/>
      <c r="F31" s="4"/>
      <c r="G31" s="4"/>
      <c r="H31" s="4"/>
      <c r="I31" s="4"/>
    </row>
    <row r="32" spans="1:9" ht="15" customHeight="1" x14ac:dyDescent="0.25">
      <c r="A32" s="32"/>
      <c r="B32" s="4" t="s">
        <v>105</v>
      </c>
      <c r="C32" s="4"/>
      <c r="D32" s="4"/>
      <c r="E32" s="4"/>
      <c r="F32" s="4"/>
      <c r="G32" s="4"/>
      <c r="H32" s="4"/>
      <c r="I32" s="4"/>
    </row>
  </sheetData>
  <mergeCells count="15">
    <mergeCell ref="A26:I26"/>
    <mergeCell ref="A27:I27"/>
    <mergeCell ref="B30:I30"/>
    <mergeCell ref="B31:I31"/>
    <mergeCell ref="B32:I32"/>
    <mergeCell ref="A22:I22"/>
    <mergeCell ref="A23:D23"/>
    <mergeCell ref="F23:I23"/>
    <mergeCell ref="A24:D24"/>
    <mergeCell ref="F24:I24"/>
    <mergeCell ref="A1:I1"/>
    <mergeCell ref="A3:I3"/>
    <mergeCell ref="A5:D5"/>
    <mergeCell ref="F5:I5"/>
    <mergeCell ref="A21:I2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7"/>
  <sheetViews>
    <sheetView zoomScaleNormal="100" workbookViewId="0">
      <selection activeCell="F25" sqref="F25"/>
    </sheetView>
  </sheetViews>
  <sheetFormatPr defaultColWidth="8.7109375" defaultRowHeight="15" x14ac:dyDescent="0.25"/>
  <cols>
    <col min="1" max="1" width="16" customWidth="1"/>
    <col min="2" max="2" width="22" customWidth="1"/>
    <col min="3" max="4" width="14" customWidth="1"/>
    <col min="5" max="5" width="5" customWidth="1"/>
    <col min="6" max="6" width="16" customWidth="1"/>
    <col min="7" max="7" width="22" customWidth="1"/>
    <col min="8" max="9" width="14" customWidth="1"/>
  </cols>
  <sheetData>
    <row r="1" spans="1:9" ht="27.75" customHeight="1" x14ac:dyDescent="0.25">
      <c r="A1" s="14" t="s">
        <v>106</v>
      </c>
      <c r="B1" s="14"/>
      <c r="C1" s="14"/>
      <c r="D1" s="14"/>
      <c r="E1" s="14"/>
      <c r="F1" s="14"/>
      <c r="G1" s="14"/>
      <c r="H1" s="14"/>
      <c r="I1" s="14"/>
    </row>
    <row r="3" spans="1:9" ht="109.5" customHeight="1" x14ac:dyDescent="0.25">
      <c r="A3" s="11" t="s">
        <v>107</v>
      </c>
      <c r="B3" s="11"/>
      <c r="C3" s="11"/>
      <c r="D3" s="11"/>
      <c r="E3" s="11"/>
      <c r="F3" s="11"/>
      <c r="G3" s="11"/>
      <c r="H3" s="11"/>
      <c r="I3" s="11"/>
    </row>
    <row r="5" spans="1:9" ht="21.75" customHeight="1" x14ac:dyDescent="0.25">
      <c r="A5" s="10" t="s">
        <v>84</v>
      </c>
      <c r="B5" s="10"/>
      <c r="C5" s="10"/>
      <c r="D5" s="10"/>
      <c r="F5" s="10" t="s">
        <v>85</v>
      </c>
      <c r="G5" s="10"/>
      <c r="H5" s="10"/>
      <c r="I5" s="10"/>
    </row>
    <row r="6" spans="1:9" ht="24" customHeight="1" x14ac:dyDescent="0.25">
      <c r="A6" s="17" t="s">
        <v>86</v>
      </c>
      <c r="B6" s="17" t="s">
        <v>87</v>
      </c>
      <c r="C6" s="17" t="s">
        <v>88</v>
      </c>
      <c r="D6" s="17" t="s">
        <v>89</v>
      </c>
      <c r="F6" s="17" t="s">
        <v>86</v>
      </c>
      <c r="G6" s="17" t="s">
        <v>87</v>
      </c>
      <c r="H6" s="17" t="s">
        <v>88</v>
      </c>
      <c r="I6" s="17" t="s">
        <v>89</v>
      </c>
    </row>
    <row r="7" spans="1:9" x14ac:dyDescent="0.25">
      <c r="A7" s="23" t="s">
        <v>90</v>
      </c>
      <c r="B7" s="23" t="s">
        <v>91</v>
      </c>
      <c r="C7" s="24">
        <v>45200</v>
      </c>
      <c r="D7" s="25">
        <v>1240</v>
      </c>
      <c r="F7" s="26" t="s">
        <v>95</v>
      </c>
      <c r="G7" s="26" t="s">
        <v>92</v>
      </c>
      <c r="H7" s="27">
        <v>61500</v>
      </c>
      <c r="I7" s="28">
        <v>120</v>
      </c>
    </row>
    <row r="8" spans="1:9" x14ac:dyDescent="0.25">
      <c r="A8" s="23" t="s">
        <v>93</v>
      </c>
      <c r="B8" s="23" t="s">
        <v>94</v>
      </c>
      <c r="C8" s="24">
        <v>28100</v>
      </c>
      <c r="D8" s="25">
        <v>890</v>
      </c>
      <c r="F8" s="26" t="s">
        <v>95</v>
      </c>
      <c r="G8" s="26" t="s">
        <v>94</v>
      </c>
      <c r="H8" s="27">
        <v>19500</v>
      </c>
      <c r="I8" s="28">
        <v>520</v>
      </c>
    </row>
    <row r="9" spans="1:9" x14ac:dyDescent="0.25">
      <c r="A9" s="23" t="s">
        <v>95</v>
      </c>
      <c r="B9" s="23" t="s">
        <v>92</v>
      </c>
      <c r="C9" s="24">
        <v>61500</v>
      </c>
      <c r="D9" s="25">
        <v>120</v>
      </c>
      <c r="F9" s="26" t="s">
        <v>95</v>
      </c>
      <c r="G9" s="26" t="s">
        <v>91</v>
      </c>
      <c r="H9" s="27">
        <v>17300</v>
      </c>
      <c r="I9" s="28">
        <v>450</v>
      </c>
    </row>
    <row r="10" spans="1:9" x14ac:dyDescent="0.25">
      <c r="A10" s="23" t="s">
        <v>96</v>
      </c>
      <c r="B10" s="23" t="s">
        <v>91</v>
      </c>
      <c r="C10" s="24">
        <v>8900</v>
      </c>
      <c r="D10" s="25">
        <v>220</v>
      </c>
      <c r="F10" s="26" t="s">
        <v>93</v>
      </c>
      <c r="G10" s="26" t="s">
        <v>92</v>
      </c>
      <c r="H10" s="27">
        <v>41200</v>
      </c>
      <c r="I10" s="28">
        <v>95</v>
      </c>
    </row>
    <row r="11" spans="1:9" x14ac:dyDescent="0.25">
      <c r="A11" s="23" t="s">
        <v>90</v>
      </c>
      <c r="B11" s="23" t="s">
        <v>94</v>
      </c>
      <c r="C11" s="24">
        <v>33700</v>
      </c>
      <c r="D11" s="25">
        <v>870</v>
      </c>
      <c r="F11" s="26" t="s">
        <v>93</v>
      </c>
      <c r="G11" s="26" t="s">
        <v>94</v>
      </c>
      <c r="H11" s="27">
        <v>28100</v>
      </c>
      <c r="I11" s="28">
        <v>890</v>
      </c>
    </row>
    <row r="12" spans="1:9" x14ac:dyDescent="0.25">
      <c r="A12" s="23" t="s">
        <v>93</v>
      </c>
      <c r="B12" s="23" t="s">
        <v>92</v>
      </c>
      <c r="C12" s="24">
        <v>41200</v>
      </c>
      <c r="D12" s="25">
        <v>95</v>
      </c>
      <c r="F12" s="26" t="s">
        <v>93</v>
      </c>
      <c r="G12" s="26" t="s">
        <v>91</v>
      </c>
      <c r="H12" s="27">
        <v>22600</v>
      </c>
      <c r="I12" s="28">
        <v>610</v>
      </c>
    </row>
    <row r="13" spans="1:9" x14ac:dyDescent="0.25">
      <c r="A13" s="23" t="s">
        <v>95</v>
      </c>
      <c r="B13" s="23" t="s">
        <v>91</v>
      </c>
      <c r="C13" s="24">
        <v>17300</v>
      </c>
      <c r="D13" s="25">
        <v>450</v>
      </c>
      <c r="F13" s="26" t="s">
        <v>96</v>
      </c>
      <c r="G13" s="26" t="s">
        <v>91</v>
      </c>
      <c r="H13" s="27">
        <v>8900</v>
      </c>
      <c r="I13" s="28">
        <v>220</v>
      </c>
    </row>
    <row r="14" spans="1:9" x14ac:dyDescent="0.25">
      <c r="A14" s="23" t="s">
        <v>96</v>
      </c>
      <c r="B14" s="23" t="s">
        <v>92</v>
      </c>
      <c r="C14" s="24">
        <v>5400</v>
      </c>
      <c r="D14" s="25">
        <v>18</v>
      </c>
      <c r="F14" s="26" t="s">
        <v>96</v>
      </c>
      <c r="G14" s="26" t="s">
        <v>94</v>
      </c>
      <c r="H14" s="27">
        <v>6700</v>
      </c>
      <c r="I14" s="28">
        <v>180</v>
      </c>
    </row>
    <row r="15" spans="1:9" x14ac:dyDescent="0.25">
      <c r="A15" s="23" t="s">
        <v>90</v>
      </c>
      <c r="B15" s="23" t="s">
        <v>92</v>
      </c>
      <c r="C15" s="24">
        <v>72800</v>
      </c>
      <c r="D15" s="25">
        <v>150</v>
      </c>
      <c r="F15" s="26" t="s">
        <v>96</v>
      </c>
      <c r="G15" s="26" t="s">
        <v>92</v>
      </c>
      <c r="H15" s="27">
        <v>5400</v>
      </c>
      <c r="I15" s="28">
        <v>18</v>
      </c>
    </row>
    <row r="16" spans="1:9" x14ac:dyDescent="0.25">
      <c r="A16" s="23" t="s">
        <v>93</v>
      </c>
      <c r="B16" s="23" t="s">
        <v>91</v>
      </c>
      <c r="C16" s="24">
        <v>22600</v>
      </c>
      <c r="D16" s="25">
        <v>610</v>
      </c>
      <c r="F16" s="26" t="s">
        <v>90</v>
      </c>
      <c r="G16" s="26" t="s">
        <v>92</v>
      </c>
      <c r="H16" s="27">
        <v>72800</v>
      </c>
      <c r="I16" s="28">
        <v>150</v>
      </c>
    </row>
    <row r="17" spans="1:9" x14ac:dyDescent="0.25">
      <c r="A17" s="23" t="s">
        <v>95</v>
      </c>
      <c r="B17" s="23" t="s">
        <v>94</v>
      </c>
      <c r="C17" s="24">
        <v>19500</v>
      </c>
      <c r="D17" s="25">
        <v>520</v>
      </c>
      <c r="F17" s="26" t="s">
        <v>90</v>
      </c>
      <c r="G17" s="26" t="s">
        <v>91</v>
      </c>
      <c r="H17" s="27">
        <v>45200</v>
      </c>
      <c r="I17" s="28">
        <v>1240</v>
      </c>
    </row>
    <row r="18" spans="1:9" x14ac:dyDescent="0.25">
      <c r="A18" s="23" t="s">
        <v>96</v>
      </c>
      <c r="B18" s="23" t="s">
        <v>94</v>
      </c>
      <c r="C18" s="24">
        <v>6700</v>
      </c>
      <c r="D18" s="25">
        <v>180</v>
      </c>
      <c r="F18" s="26" t="s">
        <v>90</v>
      </c>
      <c r="G18" s="26" t="s">
        <v>94</v>
      </c>
      <c r="H18" s="27">
        <v>33700</v>
      </c>
      <c r="I18" s="28">
        <v>870</v>
      </c>
    </row>
    <row r="21" spans="1:9" ht="21.75" customHeight="1" x14ac:dyDescent="0.25">
      <c r="A21" s="13" t="s">
        <v>108</v>
      </c>
      <c r="B21" s="13"/>
      <c r="C21" s="13"/>
      <c r="D21" s="13"/>
      <c r="E21" s="13"/>
      <c r="F21" s="13"/>
      <c r="G21" s="13"/>
      <c r="H21" s="13"/>
      <c r="I21" s="13"/>
    </row>
    <row r="22" spans="1:9" ht="43.5" customHeight="1" x14ac:dyDescent="0.25">
      <c r="A22" s="12" t="s">
        <v>109</v>
      </c>
      <c r="B22" s="12"/>
      <c r="C22" s="12"/>
      <c r="D22" s="12"/>
      <c r="E22" s="12"/>
      <c r="F22" s="12"/>
      <c r="G22" s="12"/>
      <c r="H22" s="12"/>
      <c r="I22" s="12"/>
    </row>
    <row r="23" spans="1:9" ht="27.75" customHeight="1" x14ac:dyDescent="0.25">
      <c r="A23" s="9" t="s">
        <v>46</v>
      </c>
      <c r="B23" s="9"/>
      <c r="C23" s="9"/>
      <c r="D23" s="9"/>
      <c r="F23" s="8" t="s">
        <v>47</v>
      </c>
      <c r="G23" s="8"/>
      <c r="H23" s="8"/>
      <c r="I23" s="8"/>
    </row>
    <row r="24" spans="1:9" ht="27.75" customHeight="1" x14ac:dyDescent="0.25">
      <c r="A24" s="7" t="s">
        <v>110</v>
      </c>
      <c r="B24" s="7"/>
      <c r="C24" s="7"/>
      <c r="D24" s="7"/>
      <c r="F24" s="6" t="e">
        <f ca="1">rwsort(A7:D18, 1, TRUE, 3, FALSE, 2, TRUE)</f>
        <v>#NAME?</v>
      </c>
      <c r="G24" s="6"/>
      <c r="H24" s="6"/>
      <c r="I24" s="6"/>
    </row>
    <row r="26" spans="1:9" ht="21.75" customHeight="1" x14ac:dyDescent="0.25">
      <c r="A26" s="13" t="s">
        <v>100</v>
      </c>
      <c r="B26" s="13"/>
      <c r="C26" s="13"/>
      <c r="D26" s="13"/>
      <c r="E26" s="13"/>
      <c r="F26" s="13"/>
      <c r="G26" s="13"/>
      <c r="H26" s="13"/>
      <c r="I26" s="13"/>
    </row>
    <row r="27" spans="1:9" ht="79.5" customHeight="1" x14ac:dyDescent="0.25">
      <c r="A27" s="5" t="s">
        <v>111</v>
      </c>
      <c r="B27" s="5"/>
      <c r="C27" s="5"/>
      <c r="D27" s="5"/>
      <c r="E27" s="5"/>
      <c r="F27" s="5"/>
      <c r="G27" s="5"/>
      <c r="H27" s="5"/>
      <c r="I27" s="5"/>
    </row>
  </sheetData>
  <mergeCells count="12">
    <mergeCell ref="A26:I26"/>
    <mergeCell ref="A27:I27"/>
    <mergeCell ref="A22:I22"/>
    <mergeCell ref="A23:D23"/>
    <mergeCell ref="F23:I23"/>
    <mergeCell ref="A24:D24"/>
    <mergeCell ref="F24:I24"/>
    <mergeCell ref="A1:I1"/>
    <mergeCell ref="A3:I3"/>
    <mergeCell ref="A5:D5"/>
    <mergeCell ref="F5:I5"/>
    <mergeCell ref="A21:I2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1"/>
  <sheetViews>
    <sheetView zoomScaleNormal="100" workbookViewId="0">
      <selection activeCell="A30" sqref="A30"/>
    </sheetView>
  </sheetViews>
  <sheetFormatPr defaultColWidth="8.7109375" defaultRowHeight="15" x14ac:dyDescent="0.25"/>
  <cols>
    <col min="1" max="1" width="18" customWidth="1"/>
    <col min="2" max="3" width="14" customWidth="1"/>
    <col min="4" max="4" width="5" customWidth="1"/>
  </cols>
  <sheetData>
    <row r="1" spans="1:4" ht="27.75" customHeight="1" x14ac:dyDescent="0.25">
      <c r="A1" s="14" t="s">
        <v>70</v>
      </c>
      <c r="B1" s="14"/>
      <c r="C1" s="14"/>
      <c r="D1" s="14"/>
    </row>
    <row r="3" spans="1:4" ht="99.75" customHeight="1" x14ac:dyDescent="0.25">
      <c r="A3" s="11" t="s">
        <v>231</v>
      </c>
      <c r="B3" s="11"/>
      <c r="C3" s="11"/>
      <c r="D3" s="11"/>
    </row>
    <row r="5" spans="1:4" ht="21.75" customHeight="1" x14ac:dyDescent="0.25">
      <c r="A5" s="10" t="s">
        <v>112</v>
      </c>
      <c r="B5" s="10"/>
      <c r="C5" s="10"/>
    </row>
    <row r="6" spans="1:4" ht="24" customHeight="1" x14ac:dyDescent="0.25">
      <c r="A6" s="17" t="s">
        <v>114</v>
      </c>
      <c r="B6" s="17" t="s">
        <v>88</v>
      </c>
      <c r="C6" s="17" t="s">
        <v>115</v>
      </c>
    </row>
    <row r="7" spans="1:4" x14ac:dyDescent="0.25">
      <c r="A7" s="23" t="s">
        <v>116</v>
      </c>
      <c r="B7" s="24">
        <v>82500</v>
      </c>
      <c r="C7" s="25">
        <v>145</v>
      </c>
    </row>
    <row r="8" spans="1:4" x14ac:dyDescent="0.25">
      <c r="A8" s="23" t="s">
        <v>117</v>
      </c>
      <c r="B8" s="24">
        <v>12300</v>
      </c>
      <c r="C8" s="25">
        <v>28</v>
      </c>
    </row>
    <row r="9" spans="1:4" x14ac:dyDescent="0.25">
      <c r="A9" s="23" t="s">
        <v>118</v>
      </c>
      <c r="B9" s="24">
        <v>95400</v>
      </c>
      <c r="C9" s="25">
        <v>210</v>
      </c>
    </row>
    <row r="10" spans="1:4" x14ac:dyDescent="0.25">
      <c r="A10" s="23" t="s">
        <v>119</v>
      </c>
      <c r="B10" s="24">
        <v>34800</v>
      </c>
      <c r="C10" s="25">
        <v>78</v>
      </c>
    </row>
    <row r="11" spans="1:4" x14ac:dyDescent="0.25">
      <c r="A11" s="23" t="s">
        <v>120</v>
      </c>
      <c r="B11" s="24">
        <v>4200</v>
      </c>
      <c r="C11" s="25">
        <v>12</v>
      </c>
    </row>
    <row r="12" spans="1:4" x14ac:dyDescent="0.25">
      <c r="A12" s="23" t="s">
        <v>121</v>
      </c>
      <c r="B12" s="24">
        <v>67900</v>
      </c>
      <c r="C12" s="25">
        <v>134</v>
      </c>
    </row>
    <row r="13" spans="1:4" x14ac:dyDescent="0.25">
      <c r="A13" s="23" t="s">
        <v>122</v>
      </c>
      <c r="B13" s="24">
        <v>8700</v>
      </c>
      <c r="C13" s="25">
        <v>19</v>
      </c>
    </row>
    <row r="14" spans="1:4" x14ac:dyDescent="0.25">
      <c r="A14" s="23" t="s">
        <v>123</v>
      </c>
      <c r="B14" s="24">
        <v>51200</v>
      </c>
      <c r="C14" s="25">
        <v>102</v>
      </c>
    </row>
    <row r="15" spans="1:4" x14ac:dyDescent="0.25">
      <c r="A15" s="23" t="s">
        <v>124</v>
      </c>
      <c r="B15" s="24">
        <v>29400</v>
      </c>
      <c r="C15" s="25">
        <v>65</v>
      </c>
    </row>
    <row r="16" spans="1:4" x14ac:dyDescent="0.25">
      <c r="A16" s="23" t="s">
        <v>125</v>
      </c>
      <c r="B16" s="24">
        <v>3100</v>
      </c>
      <c r="C16" s="25">
        <v>8</v>
      </c>
    </row>
    <row r="17" spans="1:4" x14ac:dyDescent="0.25">
      <c r="A17" s="23" t="s">
        <v>126</v>
      </c>
      <c r="B17" s="24">
        <v>45600</v>
      </c>
      <c r="C17" s="25">
        <v>91</v>
      </c>
    </row>
    <row r="18" spans="1:4" x14ac:dyDescent="0.25">
      <c r="A18" s="23" t="s">
        <v>127</v>
      </c>
      <c r="B18" s="24">
        <v>76200</v>
      </c>
      <c r="C18" s="25">
        <v>158</v>
      </c>
    </row>
    <row r="21" spans="1:4" ht="21.75" customHeight="1" x14ac:dyDescent="0.25">
      <c r="A21" s="13" t="s">
        <v>128</v>
      </c>
      <c r="B21" s="13"/>
      <c r="C21" s="13"/>
      <c r="D21" s="13"/>
    </row>
    <row r="22" spans="1:4" ht="31.5" customHeight="1" x14ac:dyDescent="0.25">
      <c r="A22" s="12" t="s">
        <v>129</v>
      </c>
      <c r="B22" s="12"/>
      <c r="C22" s="12"/>
    </row>
    <row r="23" spans="1:4" ht="24" customHeight="1" x14ac:dyDescent="0.25">
      <c r="A23" s="9" t="s">
        <v>46</v>
      </c>
      <c r="B23" s="9"/>
      <c r="C23" s="9"/>
    </row>
    <row r="24" spans="1:4" ht="24" customHeight="1" x14ac:dyDescent="0.25">
      <c r="A24" s="7" t="s">
        <v>131</v>
      </c>
      <c r="B24" s="7"/>
      <c r="C24" s="7"/>
    </row>
    <row r="25" spans="1:4" ht="24" customHeight="1" x14ac:dyDescent="0.25">
      <c r="A25" s="8" t="s">
        <v>47</v>
      </c>
      <c r="B25" s="8"/>
      <c r="C25" s="8"/>
    </row>
    <row r="26" spans="1:4" ht="24" customHeight="1" x14ac:dyDescent="0.25">
      <c r="A26" s="6" t="e">
        <f ca="1">rwsort(A7:C18, 2, FALSE, "TOP", 5)</f>
        <v>#NAME?</v>
      </c>
      <c r="B26" s="6"/>
      <c r="C26" s="6"/>
    </row>
    <row r="28" spans="1:4" ht="21.75" customHeight="1" x14ac:dyDescent="0.25">
      <c r="A28" s="13" t="s">
        <v>100</v>
      </c>
      <c r="B28" s="13"/>
      <c r="C28" s="13"/>
      <c r="D28" s="13"/>
    </row>
    <row r="29" spans="1:4" ht="99.75" customHeight="1" x14ac:dyDescent="0.25">
      <c r="A29" s="5" t="s">
        <v>232</v>
      </c>
      <c r="B29" s="5"/>
      <c r="C29" s="5"/>
    </row>
    <row r="31" spans="1:4" ht="49.5" customHeight="1" x14ac:dyDescent="0.25">
      <c r="A31" s="3" t="s">
        <v>133</v>
      </c>
      <c r="B31" s="3"/>
      <c r="C31" s="3"/>
      <c r="D31" s="3"/>
    </row>
  </sheetData>
  <mergeCells count="12">
    <mergeCell ref="A29:C29"/>
    <mergeCell ref="A31:D31"/>
    <mergeCell ref="A25:C25"/>
    <mergeCell ref="A26:C26"/>
    <mergeCell ref="A28:D28"/>
    <mergeCell ref="A22:C22"/>
    <mergeCell ref="A23:C23"/>
    <mergeCell ref="A24:C24"/>
    <mergeCell ref="A1:D1"/>
    <mergeCell ref="A3:D3"/>
    <mergeCell ref="A5:C5"/>
    <mergeCell ref="A21:D2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45804-8DFD-420D-83DA-357AEDF3371C}">
  <dimension ref="A1:D31"/>
  <sheetViews>
    <sheetView zoomScaleNormal="100" workbookViewId="0">
      <selection activeCell="A4" sqref="A4"/>
    </sheetView>
  </sheetViews>
  <sheetFormatPr defaultColWidth="8.7109375" defaultRowHeight="15" x14ac:dyDescent="0.25"/>
  <cols>
    <col min="1" max="1" width="18" customWidth="1"/>
    <col min="2" max="3" width="14" customWidth="1"/>
    <col min="4" max="4" width="5" customWidth="1"/>
  </cols>
  <sheetData>
    <row r="1" spans="1:4" ht="27.75" customHeight="1" x14ac:dyDescent="0.25">
      <c r="A1" s="14" t="s">
        <v>70</v>
      </c>
      <c r="B1" s="14"/>
      <c r="C1" s="14"/>
      <c r="D1" s="14"/>
    </row>
    <row r="3" spans="1:4" ht="99.75" customHeight="1" x14ac:dyDescent="0.25">
      <c r="A3" s="11" t="s">
        <v>233</v>
      </c>
      <c r="B3" s="11"/>
      <c r="C3" s="11"/>
      <c r="D3" s="11"/>
    </row>
    <row r="5" spans="1:4" ht="21.75" customHeight="1" x14ac:dyDescent="0.25">
      <c r="A5" s="10" t="s">
        <v>113</v>
      </c>
      <c r="B5" s="10"/>
      <c r="C5" s="10"/>
    </row>
    <row r="6" spans="1:4" ht="24" customHeight="1" x14ac:dyDescent="0.25">
      <c r="A6" s="17" t="s">
        <v>114</v>
      </c>
      <c r="B6" s="17" t="s">
        <v>88</v>
      </c>
      <c r="C6" s="17" t="s">
        <v>115</v>
      </c>
    </row>
    <row r="7" spans="1:4" x14ac:dyDescent="0.25">
      <c r="A7" s="23" t="s">
        <v>116</v>
      </c>
      <c r="B7" s="24">
        <v>82500</v>
      </c>
      <c r="C7" s="25">
        <v>145</v>
      </c>
    </row>
    <row r="8" spans="1:4" x14ac:dyDescent="0.25">
      <c r="A8" s="23" t="s">
        <v>117</v>
      </c>
      <c r="B8" s="24">
        <v>12300</v>
      </c>
      <c r="C8" s="25">
        <v>28</v>
      </c>
    </row>
    <row r="9" spans="1:4" x14ac:dyDescent="0.25">
      <c r="A9" s="23" t="s">
        <v>118</v>
      </c>
      <c r="B9" s="24">
        <v>95400</v>
      </c>
      <c r="C9" s="25">
        <v>210</v>
      </c>
    </row>
    <row r="10" spans="1:4" x14ac:dyDescent="0.25">
      <c r="A10" s="23" t="s">
        <v>119</v>
      </c>
      <c r="B10" s="24">
        <v>34800</v>
      </c>
      <c r="C10" s="25">
        <v>78</v>
      </c>
    </row>
    <row r="11" spans="1:4" x14ac:dyDescent="0.25">
      <c r="A11" s="23" t="s">
        <v>120</v>
      </c>
      <c r="B11" s="24">
        <v>4200</v>
      </c>
      <c r="C11" s="25">
        <v>12</v>
      </c>
    </row>
    <row r="12" spans="1:4" x14ac:dyDescent="0.25">
      <c r="A12" s="23" t="s">
        <v>121</v>
      </c>
      <c r="B12" s="24">
        <v>67900</v>
      </c>
      <c r="C12" s="25">
        <v>134</v>
      </c>
    </row>
    <row r="13" spans="1:4" x14ac:dyDescent="0.25">
      <c r="A13" s="23" t="s">
        <v>122</v>
      </c>
      <c r="B13" s="24">
        <v>8700</v>
      </c>
      <c r="C13" s="25">
        <v>19</v>
      </c>
    </row>
    <row r="14" spans="1:4" x14ac:dyDescent="0.25">
      <c r="A14" s="23" t="s">
        <v>123</v>
      </c>
      <c r="B14" s="24">
        <v>51200</v>
      </c>
      <c r="C14" s="25">
        <v>102</v>
      </c>
    </row>
    <row r="15" spans="1:4" x14ac:dyDescent="0.25">
      <c r="A15" s="23" t="s">
        <v>124</v>
      </c>
      <c r="B15" s="24">
        <v>29400</v>
      </c>
      <c r="C15" s="25">
        <v>65</v>
      </c>
    </row>
    <row r="16" spans="1:4" x14ac:dyDescent="0.25">
      <c r="A16" s="23" t="s">
        <v>125</v>
      </c>
      <c r="B16" s="24">
        <v>3100</v>
      </c>
      <c r="C16" s="25">
        <v>8</v>
      </c>
    </row>
    <row r="17" spans="1:4" x14ac:dyDescent="0.25">
      <c r="A17" s="23" t="s">
        <v>126</v>
      </c>
      <c r="B17" s="24">
        <v>45600</v>
      </c>
      <c r="C17" s="25">
        <v>91</v>
      </c>
    </row>
    <row r="18" spans="1:4" x14ac:dyDescent="0.25">
      <c r="A18" s="23" t="s">
        <v>127</v>
      </c>
      <c r="B18" s="24">
        <v>76200</v>
      </c>
      <c r="C18" s="25">
        <v>158</v>
      </c>
    </row>
    <row r="21" spans="1:4" ht="21.75" customHeight="1" x14ac:dyDescent="0.25">
      <c r="A21" s="13" t="s">
        <v>128</v>
      </c>
      <c r="B21" s="13"/>
      <c r="C21" s="13"/>
      <c r="D21" s="13"/>
    </row>
    <row r="22" spans="1:4" ht="31.5" customHeight="1" x14ac:dyDescent="0.25">
      <c r="A22" s="12" t="s">
        <v>130</v>
      </c>
      <c r="B22" s="12"/>
      <c r="C22" s="12"/>
    </row>
    <row r="23" spans="1:4" ht="24" customHeight="1" x14ac:dyDescent="0.25">
      <c r="A23" s="9" t="s">
        <v>46</v>
      </c>
      <c r="B23" s="9"/>
      <c r="C23" s="9"/>
    </row>
    <row r="24" spans="1:4" ht="24" customHeight="1" x14ac:dyDescent="0.25">
      <c r="A24" s="7" t="s">
        <v>132</v>
      </c>
      <c r="B24" s="7"/>
      <c r="C24" s="7"/>
    </row>
    <row r="25" spans="1:4" ht="24" customHeight="1" x14ac:dyDescent="0.25">
      <c r="A25" s="8" t="s">
        <v>47</v>
      </c>
      <c r="B25" s="8"/>
      <c r="C25" s="8"/>
    </row>
    <row r="26" spans="1:4" ht="24" customHeight="1" x14ac:dyDescent="0.25">
      <c r="A26" s="6" t="e">
        <f ca="1">rwsort(A7:C18, 2, TRUE, "BOTTOM", 3)</f>
        <v>#NAME?</v>
      </c>
      <c r="B26" s="6"/>
      <c r="C26" s="6"/>
    </row>
    <row r="28" spans="1:4" ht="21.75" customHeight="1" x14ac:dyDescent="0.25">
      <c r="A28" s="13" t="s">
        <v>100</v>
      </c>
      <c r="B28" s="13"/>
      <c r="C28" s="13"/>
      <c r="D28" s="13"/>
    </row>
    <row r="29" spans="1:4" ht="99.75" customHeight="1" x14ac:dyDescent="0.25">
      <c r="A29" s="5" t="s">
        <v>230</v>
      </c>
      <c r="B29" s="5"/>
      <c r="C29" s="5"/>
    </row>
    <row r="31" spans="1:4" ht="49.5" customHeight="1" x14ac:dyDescent="0.25">
      <c r="A31" s="3" t="s">
        <v>133</v>
      </c>
      <c r="B31" s="3"/>
      <c r="C31" s="3"/>
      <c r="D31" s="3"/>
    </row>
  </sheetData>
  <mergeCells count="12">
    <mergeCell ref="A26:C26"/>
    <mergeCell ref="A28:D28"/>
    <mergeCell ref="A29:C29"/>
    <mergeCell ref="A31:D31"/>
    <mergeCell ref="A23:C23"/>
    <mergeCell ref="A24:C24"/>
    <mergeCell ref="A25:C25"/>
    <mergeCell ref="A1:D1"/>
    <mergeCell ref="A3:D3"/>
    <mergeCell ref="A5:C5"/>
    <mergeCell ref="A21:D21"/>
    <mergeCell ref="A22:C2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7"/>
  <sheetViews>
    <sheetView tabSelected="1" zoomScaleNormal="100" workbookViewId="0">
      <selection activeCell="B34" sqref="B34"/>
    </sheetView>
  </sheetViews>
  <sheetFormatPr defaultColWidth="8.7109375" defaultRowHeight="15" x14ac:dyDescent="0.25"/>
  <cols>
    <col min="1" max="1" width="18" customWidth="1"/>
    <col min="2" max="3" width="14" customWidth="1"/>
    <col min="4" max="4" width="5" customWidth="1"/>
    <col min="5" max="6" width="38" customWidth="1"/>
  </cols>
  <sheetData>
    <row r="1" spans="1:6" ht="27.75" customHeight="1" x14ac:dyDescent="0.25">
      <c r="A1" s="14" t="s">
        <v>134</v>
      </c>
      <c r="B1" s="14"/>
      <c r="C1" s="14"/>
      <c r="D1" s="14"/>
      <c r="E1" s="14"/>
      <c r="F1" s="14"/>
    </row>
    <row r="3" spans="1:6" ht="199.5" customHeight="1" x14ac:dyDescent="0.25">
      <c r="A3" s="11" t="s">
        <v>135</v>
      </c>
      <c r="B3" s="11"/>
      <c r="C3" s="11"/>
      <c r="D3" s="11"/>
      <c r="E3" s="11"/>
      <c r="F3" s="11"/>
    </row>
    <row r="5" spans="1:6" ht="21.75" customHeight="1" x14ac:dyDescent="0.25">
      <c r="A5" s="10" t="s">
        <v>136</v>
      </c>
      <c r="B5" s="10"/>
      <c r="C5" s="10"/>
      <c r="D5" s="10"/>
      <c r="E5" s="10"/>
      <c r="F5" s="10"/>
    </row>
    <row r="6" spans="1:6" ht="36" customHeight="1" x14ac:dyDescent="0.25">
      <c r="A6" s="17" t="s">
        <v>114</v>
      </c>
      <c r="B6" s="17" t="s">
        <v>88</v>
      </c>
      <c r="C6" s="17" t="s">
        <v>115</v>
      </c>
      <c r="E6" s="17" t="s">
        <v>137</v>
      </c>
      <c r="F6" s="20" t="s">
        <v>138</v>
      </c>
    </row>
    <row r="7" spans="1:6" ht="25.5" x14ac:dyDescent="0.25">
      <c r="A7" s="23" t="s">
        <v>116</v>
      </c>
      <c r="B7" s="24">
        <v>82500</v>
      </c>
      <c r="C7" s="25">
        <v>145</v>
      </c>
      <c r="E7" s="21" t="s">
        <v>139</v>
      </c>
      <c r="F7" s="22" t="e">
        <f t="shared" ref="F7:F18" ca="1" si="0">rwsuppress(B7&lt;LARGE($B$7:$B$18,5))</f>
        <v>#NAME?</v>
      </c>
    </row>
    <row r="8" spans="1:6" ht="25.5" x14ac:dyDescent="0.25">
      <c r="A8" s="23" t="s">
        <v>117</v>
      </c>
      <c r="B8" s="24">
        <v>12300</v>
      </c>
      <c r="C8" s="25">
        <v>28</v>
      </c>
      <c r="E8" s="21" t="s">
        <v>140</v>
      </c>
      <c r="F8" s="22" t="e">
        <f t="shared" ca="1" si="0"/>
        <v>#NAME?</v>
      </c>
    </row>
    <row r="9" spans="1:6" ht="25.5" x14ac:dyDescent="0.25">
      <c r="A9" s="23" t="s">
        <v>118</v>
      </c>
      <c r="B9" s="24">
        <v>95400</v>
      </c>
      <c r="C9" s="25">
        <v>210</v>
      </c>
      <c r="E9" s="21" t="s">
        <v>141</v>
      </c>
      <c r="F9" s="22" t="e">
        <f t="shared" ca="1" si="0"/>
        <v>#NAME?</v>
      </c>
    </row>
    <row r="10" spans="1:6" ht="25.5" x14ac:dyDescent="0.25">
      <c r="A10" s="23" t="s">
        <v>119</v>
      </c>
      <c r="B10" s="24">
        <v>34800</v>
      </c>
      <c r="C10" s="25">
        <v>78</v>
      </c>
      <c r="E10" s="21" t="s">
        <v>142</v>
      </c>
      <c r="F10" s="22" t="e">
        <f t="shared" ca="1" si="0"/>
        <v>#NAME?</v>
      </c>
    </row>
    <row r="11" spans="1:6" ht="25.5" x14ac:dyDescent="0.25">
      <c r="A11" s="23" t="s">
        <v>120</v>
      </c>
      <c r="B11" s="24">
        <v>4200</v>
      </c>
      <c r="C11" s="25">
        <v>12</v>
      </c>
      <c r="E11" s="21" t="s">
        <v>143</v>
      </c>
      <c r="F11" s="22" t="e">
        <f t="shared" ca="1" si="0"/>
        <v>#NAME?</v>
      </c>
    </row>
    <row r="12" spans="1:6" ht="25.5" x14ac:dyDescent="0.25">
      <c r="A12" s="23" t="s">
        <v>121</v>
      </c>
      <c r="B12" s="24">
        <v>67900</v>
      </c>
      <c r="C12" s="25">
        <v>134</v>
      </c>
      <c r="E12" s="21" t="s">
        <v>144</v>
      </c>
      <c r="F12" s="22" t="e">
        <f t="shared" ca="1" si="0"/>
        <v>#NAME?</v>
      </c>
    </row>
    <row r="13" spans="1:6" ht="25.5" x14ac:dyDescent="0.25">
      <c r="A13" s="23" t="s">
        <v>122</v>
      </c>
      <c r="B13" s="24">
        <v>8700</v>
      </c>
      <c r="C13" s="25">
        <v>19</v>
      </c>
      <c r="E13" s="21" t="s">
        <v>145</v>
      </c>
      <c r="F13" s="22" t="e">
        <f t="shared" ca="1" si="0"/>
        <v>#NAME?</v>
      </c>
    </row>
    <row r="14" spans="1:6" ht="25.5" x14ac:dyDescent="0.25">
      <c r="A14" s="23" t="s">
        <v>123</v>
      </c>
      <c r="B14" s="24">
        <v>51200</v>
      </c>
      <c r="C14" s="25">
        <v>102</v>
      </c>
      <c r="E14" s="21" t="s">
        <v>146</v>
      </c>
      <c r="F14" s="22" t="e">
        <f t="shared" ca="1" si="0"/>
        <v>#NAME?</v>
      </c>
    </row>
    <row r="15" spans="1:6" ht="25.5" x14ac:dyDescent="0.25">
      <c r="A15" s="23" t="s">
        <v>124</v>
      </c>
      <c r="B15" s="24">
        <v>29400</v>
      </c>
      <c r="C15" s="25">
        <v>65</v>
      </c>
      <c r="E15" s="21" t="s">
        <v>147</v>
      </c>
      <c r="F15" s="22" t="e">
        <f t="shared" ca="1" si="0"/>
        <v>#NAME?</v>
      </c>
    </row>
    <row r="16" spans="1:6" ht="25.5" x14ac:dyDescent="0.25">
      <c r="A16" s="23" t="s">
        <v>125</v>
      </c>
      <c r="B16" s="24">
        <v>3100</v>
      </c>
      <c r="C16" s="25">
        <v>8</v>
      </c>
      <c r="E16" s="21" t="s">
        <v>148</v>
      </c>
      <c r="F16" s="22" t="e">
        <f t="shared" ca="1" si="0"/>
        <v>#NAME?</v>
      </c>
    </row>
    <row r="17" spans="1:6" ht="25.5" x14ac:dyDescent="0.25">
      <c r="A17" s="23" t="s">
        <v>126</v>
      </c>
      <c r="B17" s="24">
        <v>45600</v>
      </c>
      <c r="C17" s="25">
        <v>91</v>
      </c>
      <c r="E17" s="21" t="s">
        <v>149</v>
      </c>
      <c r="F17" s="22" t="e">
        <f t="shared" ca="1" si="0"/>
        <v>#NAME?</v>
      </c>
    </row>
    <row r="18" spans="1:6" ht="25.5" x14ac:dyDescent="0.25">
      <c r="A18" s="23" t="s">
        <v>127</v>
      </c>
      <c r="B18" s="24">
        <v>76200</v>
      </c>
      <c r="C18" s="25">
        <v>158</v>
      </c>
      <c r="E18" s="21" t="s">
        <v>150</v>
      </c>
      <c r="F18" s="22" t="e">
        <f t="shared" ca="1" si="0"/>
        <v>#NAME?</v>
      </c>
    </row>
    <row r="21" spans="1:6" ht="21.75" customHeight="1" x14ac:dyDescent="0.25">
      <c r="A21" s="13" t="s">
        <v>151</v>
      </c>
      <c r="B21" s="13"/>
      <c r="C21" s="13"/>
      <c r="D21" s="13"/>
      <c r="E21" s="13"/>
      <c r="F21" s="13"/>
    </row>
    <row r="22" spans="1:6" ht="49.5" customHeight="1" x14ac:dyDescent="0.25">
      <c r="A22" s="12" t="s">
        <v>152</v>
      </c>
      <c r="B22" s="12"/>
      <c r="C22" s="12"/>
      <c r="D22" s="12"/>
      <c r="E22" s="12"/>
      <c r="F22" s="12"/>
    </row>
    <row r="23" spans="1:6" ht="25.5" customHeight="1" x14ac:dyDescent="0.25">
      <c r="A23" s="9" t="s">
        <v>46</v>
      </c>
      <c r="B23" s="9"/>
      <c r="C23" s="9"/>
      <c r="E23" s="8" t="s">
        <v>47</v>
      </c>
      <c r="F23" s="8"/>
    </row>
    <row r="24" spans="1:6" ht="25.5" customHeight="1" x14ac:dyDescent="0.25">
      <c r="A24" s="7" t="s">
        <v>153</v>
      </c>
      <c r="B24" s="7"/>
      <c r="C24" s="7"/>
      <c r="E24" s="6" t="e">
        <f ca="1">rwsort(A7:C18, 2, FALSE)</f>
        <v>#NAME?</v>
      </c>
      <c r="F24" s="6"/>
    </row>
    <row r="26" spans="1:6" ht="21.75" customHeight="1" x14ac:dyDescent="0.25">
      <c r="A26" s="13" t="s">
        <v>154</v>
      </c>
      <c r="B26" s="13"/>
      <c r="C26" s="13"/>
      <c r="D26" s="13"/>
      <c r="E26" s="13"/>
      <c r="F26" s="13"/>
    </row>
    <row r="27" spans="1:6" ht="129.75" customHeight="1" x14ac:dyDescent="0.25">
      <c r="A27" s="12" t="s">
        <v>155</v>
      </c>
      <c r="B27" s="12"/>
      <c r="C27" s="12"/>
      <c r="D27" s="12"/>
      <c r="E27" s="12"/>
      <c r="F27" s="12"/>
    </row>
    <row r="29" spans="1:6" ht="21.75" customHeight="1" x14ac:dyDescent="0.25">
      <c r="A29" s="13" t="s">
        <v>100</v>
      </c>
      <c r="B29" s="13"/>
      <c r="C29" s="13"/>
      <c r="D29" s="13"/>
      <c r="E29" s="13"/>
      <c r="F29" s="13"/>
    </row>
    <row r="30" spans="1:6" ht="199.5" customHeight="1" x14ac:dyDescent="0.25">
      <c r="A30" s="5" t="s">
        <v>156</v>
      </c>
      <c r="B30" s="5"/>
      <c r="C30" s="5"/>
      <c r="D30" s="5"/>
      <c r="E30" s="5"/>
      <c r="F30" s="5"/>
    </row>
    <row r="32" spans="1:6" ht="21.75" customHeight="1" x14ac:dyDescent="0.25">
      <c r="A32" s="13" t="s">
        <v>157</v>
      </c>
      <c r="B32" s="13"/>
      <c r="C32" s="13"/>
      <c r="D32" s="13"/>
      <c r="E32" s="13"/>
      <c r="F32" s="13"/>
    </row>
    <row r="33" spans="1:6" ht="27.75" customHeight="1" x14ac:dyDescent="0.25">
      <c r="A33" s="17" t="s">
        <v>158</v>
      </c>
      <c r="B33" s="17" t="s">
        <v>159</v>
      </c>
      <c r="C33" s="2" t="s">
        <v>160</v>
      </c>
      <c r="D33" s="2"/>
      <c r="E33" s="2"/>
      <c r="F33" s="2"/>
    </row>
    <row r="34" spans="1:6" ht="49.5" customHeight="1" x14ac:dyDescent="0.25">
      <c r="A34" s="33" t="s">
        <v>161</v>
      </c>
      <c r="B34" s="21" t="s">
        <v>162</v>
      </c>
      <c r="C34" s="1" t="s">
        <v>163</v>
      </c>
      <c r="D34" s="1"/>
      <c r="E34" s="1"/>
      <c r="F34" s="1"/>
    </row>
    <row r="35" spans="1:6" ht="49.5" customHeight="1" x14ac:dyDescent="0.25">
      <c r="A35" s="33" t="s">
        <v>164</v>
      </c>
      <c r="B35" s="21" t="s">
        <v>165</v>
      </c>
      <c r="C35" s="1" t="s">
        <v>166</v>
      </c>
      <c r="D35" s="1"/>
      <c r="E35" s="1"/>
      <c r="F35" s="1"/>
    </row>
    <row r="36" spans="1:6" ht="49.5" customHeight="1" x14ac:dyDescent="0.25">
      <c r="A36" s="33" t="s">
        <v>167</v>
      </c>
      <c r="B36" s="21" t="s">
        <v>168</v>
      </c>
      <c r="C36" s="1" t="s">
        <v>169</v>
      </c>
      <c r="D36" s="1"/>
      <c r="E36" s="1"/>
      <c r="F36" s="1"/>
    </row>
    <row r="37" spans="1:6" ht="49.5" customHeight="1" x14ac:dyDescent="0.25">
      <c r="A37" s="33" t="s">
        <v>170</v>
      </c>
      <c r="B37" s="21" t="s">
        <v>171</v>
      </c>
      <c r="C37" s="1" t="s">
        <v>172</v>
      </c>
      <c r="D37" s="1"/>
      <c r="E37" s="1"/>
      <c r="F37" s="1"/>
    </row>
    <row r="38" spans="1:6" ht="49.5" customHeight="1" x14ac:dyDescent="0.25">
      <c r="A38" s="33" t="s">
        <v>173</v>
      </c>
      <c r="B38" s="21" t="s">
        <v>174</v>
      </c>
      <c r="C38" s="1" t="s">
        <v>175</v>
      </c>
      <c r="D38" s="1"/>
      <c r="E38" s="1"/>
      <c r="F38" s="1"/>
    </row>
    <row r="41" spans="1:6" ht="21.75" customHeight="1" x14ac:dyDescent="0.25">
      <c r="A41" s="13" t="s">
        <v>176</v>
      </c>
      <c r="B41" s="13"/>
      <c r="C41" s="13"/>
      <c r="D41" s="13"/>
      <c r="E41" s="13"/>
      <c r="F41" s="13"/>
    </row>
    <row r="42" spans="1:6" ht="109.5" customHeight="1" x14ac:dyDescent="0.25">
      <c r="A42" s="12" t="s">
        <v>177</v>
      </c>
      <c r="B42" s="12"/>
      <c r="C42" s="12"/>
      <c r="D42" s="12"/>
      <c r="E42" s="12"/>
      <c r="F42" s="12"/>
    </row>
    <row r="44" spans="1:6" x14ac:dyDescent="0.25">
      <c r="A44" s="29" t="s">
        <v>102</v>
      </c>
    </row>
    <row r="45" spans="1:6" ht="15" customHeight="1" x14ac:dyDescent="0.25">
      <c r="A45" s="30"/>
      <c r="B45" s="4" t="s">
        <v>178</v>
      </c>
      <c r="C45" s="4"/>
      <c r="D45" s="4"/>
      <c r="E45" s="4"/>
      <c r="F45" s="4"/>
    </row>
    <row r="46" spans="1:6" ht="15" customHeight="1" x14ac:dyDescent="0.25">
      <c r="A46" s="32"/>
      <c r="B46" s="4" t="s">
        <v>179</v>
      </c>
      <c r="C46" s="4"/>
      <c r="D46" s="4"/>
      <c r="E46" s="4"/>
      <c r="F46" s="4"/>
    </row>
    <row r="47" spans="1:6" ht="15" customHeight="1" x14ac:dyDescent="0.25">
      <c r="A47" s="31"/>
      <c r="B47" s="4" t="s">
        <v>180</v>
      </c>
      <c r="C47" s="4"/>
      <c r="D47" s="4"/>
      <c r="E47" s="4"/>
      <c r="F47" s="4"/>
    </row>
  </sheetData>
  <mergeCells count="25">
    <mergeCell ref="A41:F41"/>
    <mergeCell ref="A42:F42"/>
    <mergeCell ref="B45:F45"/>
    <mergeCell ref="B46:F46"/>
    <mergeCell ref="B47:F47"/>
    <mergeCell ref="C34:F34"/>
    <mergeCell ref="C35:F35"/>
    <mergeCell ref="C36:F36"/>
    <mergeCell ref="C37:F37"/>
    <mergeCell ref="C38:F38"/>
    <mergeCell ref="A27:F27"/>
    <mergeCell ref="A29:F29"/>
    <mergeCell ref="A30:F30"/>
    <mergeCell ref="A32:F32"/>
    <mergeCell ref="C33:F33"/>
    <mergeCell ref="A23:C23"/>
    <mergeCell ref="E23:F23"/>
    <mergeCell ref="A24:C24"/>
    <mergeCell ref="E24:F24"/>
    <mergeCell ref="A26:F26"/>
    <mergeCell ref="A1:F1"/>
    <mergeCell ref="A3:F3"/>
    <mergeCell ref="A5:F5"/>
    <mergeCell ref="A21:F21"/>
    <mergeCell ref="A22:F2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8"/>
  <sheetViews>
    <sheetView zoomScaleNormal="100" workbookViewId="0">
      <selection activeCell="B24" sqref="B24"/>
    </sheetView>
  </sheetViews>
  <sheetFormatPr defaultColWidth="8.7109375" defaultRowHeight="15" x14ac:dyDescent="0.25"/>
  <cols>
    <col min="1" max="3" width="35" customWidth="1"/>
    <col min="4" max="4" width="14" customWidth="1"/>
  </cols>
  <sheetData>
    <row r="1" spans="1:4" ht="27.75" customHeight="1" x14ac:dyDescent="0.25">
      <c r="A1" s="14" t="s">
        <v>181</v>
      </c>
      <c r="B1" s="14"/>
      <c r="C1" s="14"/>
      <c r="D1" s="14"/>
    </row>
    <row r="3" spans="1:4" ht="150" customHeight="1" x14ac:dyDescent="0.25">
      <c r="A3" s="11" t="s">
        <v>182</v>
      </c>
      <c r="B3" s="11"/>
      <c r="C3" s="11"/>
      <c r="D3" s="11"/>
    </row>
    <row r="5" spans="1:4" ht="21.75" customHeight="1" x14ac:dyDescent="0.25">
      <c r="A5" s="10" t="s">
        <v>183</v>
      </c>
      <c r="B5" s="10"/>
      <c r="C5" s="10"/>
      <c r="D5" s="10"/>
    </row>
    <row r="6" spans="1:4" ht="24" customHeight="1" x14ac:dyDescent="0.25">
      <c r="A6" s="39" t="s">
        <v>86</v>
      </c>
      <c r="B6" s="40" t="s">
        <v>87</v>
      </c>
      <c r="C6" s="40" t="s">
        <v>88</v>
      </c>
      <c r="D6" s="41" t="s">
        <v>89</v>
      </c>
    </row>
    <row r="7" spans="1:4" x14ac:dyDescent="0.25">
      <c r="A7" s="37" t="s">
        <v>90</v>
      </c>
      <c r="B7" s="23" t="s">
        <v>91</v>
      </c>
      <c r="C7" s="24">
        <v>45200</v>
      </c>
      <c r="D7" s="38">
        <v>1240</v>
      </c>
    </row>
    <row r="8" spans="1:4" x14ac:dyDescent="0.25">
      <c r="A8" s="37" t="s">
        <v>93</v>
      </c>
      <c r="B8" s="23" t="s">
        <v>94</v>
      </c>
      <c r="C8" s="24">
        <v>28100</v>
      </c>
      <c r="D8" s="38">
        <v>890</v>
      </c>
    </row>
    <row r="9" spans="1:4" x14ac:dyDescent="0.25">
      <c r="A9" s="37" t="s">
        <v>95</v>
      </c>
      <c r="B9" s="23" t="s">
        <v>92</v>
      </c>
      <c r="C9" s="24">
        <v>61500</v>
      </c>
      <c r="D9" s="38">
        <v>120</v>
      </c>
    </row>
    <row r="10" spans="1:4" x14ac:dyDescent="0.25">
      <c r="A10" s="37" t="s">
        <v>96</v>
      </c>
      <c r="B10" s="23" t="s">
        <v>91</v>
      </c>
      <c r="C10" s="24">
        <v>8900</v>
      </c>
      <c r="D10" s="38">
        <v>220</v>
      </c>
    </row>
    <row r="11" spans="1:4" x14ac:dyDescent="0.25">
      <c r="A11" s="37" t="s">
        <v>90</v>
      </c>
      <c r="B11" s="23" t="s">
        <v>94</v>
      </c>
      <c r="C11" s="24">
        <v>33700</v>
      </c>
      <c r="D11" s="38">
        <v>870</v>
      </c>
    </row>
    <row r="12" spans="1:4" x14ac:dyDescent="0.25">
      <c r="A12" s="37" t="s">
        <v>93</v>
      </c>
      <c r="B12" s="23" t="s">
        <v>92</v>
      </c>
      <c r="C12" s="24">
        <v>41200</v>
      </c>
      <c r="D12" s="38">
        <v>95</v>
      </c>
    </row>
    <row r="13" spans="1:4" x14ac:dyDescent="0.25">
      <c r="A13" s="37" t="s">
        <v>95</v>
      </c>
      <c r="B13" s="23" t="s">
        <v>91</v>
      </c>
      <c r="C13" s="24">
        <v>17300</v>
      </c>
      <c r="D13" s="38">
        <v>450</v>
      </c>
    </row>
    <row r="14" spans="1:4" x14ac:dyDescent="0.25">
      <c r="A14" s="42" t="s">
        <v>96</v>
      </c>
      <c r="B14" s="43" t="s">
        <v>92</v>
      </c>
      <c r="C14" s="44">
        <v>5400</v>
      </c>
      <c r="D14" s="45">
        <v>18</v>
      </c>
    </row>
    <row r="17" spans="1:4" ht="21.75" customHeight="1" x14ac:dyDescent="0.25">
      <c r="A17" s="13" t="s">
        <v>184</v>
      </c>
      <c r="B17" s="13"/>
      <c r="C17" s="13"/>
      <c r="D17" s="13"/>
    </row>
    <row r="18" spans="1:4" ht="27.75" customHeight="1" x14ac:dyDescent="0.25">
      <c r="A18" s="17" t="s">
        <v>46</v>
      </c>
      <c r="B18" s="20" t="s">
        <v>47</v>
      </c>
      <c r="C18" s="17" t="s">
        <v>48</v>
      </c>
    </row>
    <row r="19" spans="1:4" ht="37.5" customHeight="1" x14ac:dyDescent="0.25">
      <c r="A19" s="21" t="s">
        <v>185</v>
      </c>
      <c r="B19" s="22" t="e">
        <f ca="1">rwsort("SalesTable")</f>
        <v>#NAME?</v>
      </c>
      <c r="C19" s="19" t="s">
        <v>186</v>
      </c>
    </row>
    <row r="20" spans="1:4" ht="37.5" customHeight="1" x14ac:dyDescent="0.25">
      <c r="A20" s="21" t="s">
        <v>187</v>
      </c>
      <c r="B20" s="22" t="e">
        <f ca="1">rwsort("SalesTable", 3, FALSE)</f>
        <v>#NAME?</v>
      </c>
      <c r="C20" s="19" t="s">
        <v>188</v>
      </c>
    </row>
    <row r="21" spans="1:4" ht="37.5" customHeight="1" x14ac:dyDescent="0.25">
      <c r="A21" s="21" t="s">
        <v>189</v>
      </c>
      <c r="B21" s="22" t="e">
        <f ca="1">rwsort("SalesTable", 1, TRUE, 3, FALSE)</f>
        <v>#NAME?</v>
      </c>
      <c r="C21" s="19" t="s">
        <v>190</v>
      </c>
    </row>
    <row r="22" spans="1:4" ht="37.5" customHeight="1" x14ac:dyDescent="0.25">
      <c r="A22" s="21" t="s">
        <v>191</v>
      </c>
      <c r="B22" s="22" t="e">
        <f ca="1">rwsort("SalesTable", 3, FALSE, "TOP", 5)</f>
        <v>#NAME?</v>
      </c>
      <c r="C22" s="19" t="s">
        <v>192</v>
      </c>
    </row>
    <row r="23" spans="1:4" ht="37.5" customHeight="1" x14ac:dyDescent="0.25">
      <c r="A23" s="21" t="s">
        <v>193</v>
      </c>
      <c r="B23" s="22" t="e">
        <f ca="1">rwsort("SalesTable", 1, TRUE, 2, TRUE, 3, FALSE)</f>
        <v>#NAME?</v>
      </c>
      <c r="C23" s="19" t="s">
        <v>194</v>
      </c>
    </row>
    <row r="25" spans="1:4" ht="49.5" customHeight="1" x14ac:dyDescent="0.25">
      <c r="A25" s="36" t="s">
        <v>195</v>
      </c>
      <c r="B25" s="36"/>
      <c r="C25" s="36"/>
    </row>
    <row r="27" spans="1:4" ht="21.75" customHeight="1" x14ac:dyDescent="0.25">
      <c r="A27" s="13" t="s">
        <v>196</v>
      </c>
      <c r="B27" s="13"/>
      <c r="C27" s="13"/>
    </row>
    <row r="28" spans="1:4" ht="79.5" customHeight="1" x14ac:dyDescent="0.25">
      <c r="A28" s="5" t="s">
        <v>197</v>
      </c>
      <c r="B28" s="5"/>
      <c r="C28" s="5"/>
    </row>
  </sheetData>
  <mergeCells count="7">
    <mergeCell ref="A27:C27"/>
    <mergeCell ref="A28:C28"/>
    <mergeCell ref="A1:D1"/>
    <mergeCell ref="A3:D3"/>
    <mergeCell ref="A5:D5"/>
    <mergeCell ref="A17:D17"/>
    <mergeCell ref="A25:C25"/>
  </mergeCells>
  <pageMargins left="0.75" right="0.75" top="1" bottom="1"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D14"/>
  <sheetViews>
    <sheetView zoomScaleNormal="100" workbookViewId="0"/>
  </sheetViews>
  <sheetFormatPr defaultColWidth="8.7109375" defaultRowHeight="15" x14ac:dyDescent="0.25"/>
  <cols>
    <col min="1" max="1" width="5" customWidth="1"/>
    <col min="2" max="2" width="35" customWidth="1"/>
    <col min="3" max="4" width="50" customWidth="1"/>
  </cols>
  <sheetData>
    <row r="1" spans="2:4" ht="27.75" customHeight="1" x14ac:dyDescent="0.25">
      <c r="B1" s="14" t="s">
        <v>198</v>
      </c>
      <c r="C1" s="14"/>
      <c r="D1" s="14"/>
    </row>
    <row r="3" spans="2:4" ht="31.5" customHeight="1" x14ac:dyDescent="0.25">
      <c r="B3" s="11" t="s">
        <v>199</v>
      </c>
      <c r="C3" s="11"/>
      <c r="D3" s="11"/>
    </row>
    <row r="5" spans="2:4" ht="31.5" customHeight="1" x14ac:dyDescent="0.25">
      <c r="B5" s="17" t="s">
        <v>200</v>
      </c>
      <c r="C5" s="17" t="s">
        <v>201</v>
      </c>
      <c r="D5" s="17" t="s">
        <v>202</v>
      </c>
    </row>
    <row r="6" spans="2:4" ht="79.5" customHeight="1" x14ac:dyDescent="0.25">
      <c r="B6" s="34" t="s">
        <v>203</v>
      </c>
      <c r="C6" s="35" t="s">
        <v>204</v>
      </c>
      <c r="D6" s="35" t="s">
        <v>205</v>
      </c>
    </row>
    <row r="7" spans="2:4" ht="79.5" customHeight="1" x14ac:dyDescent="0.25">
      <c r="B7" s="34" t="s">
        <v>206</v>
      </c>
      <c r="C7" s="35" t="s">
        <v>207</v>
      </c>
      <c r="D7" s="35" t="s">
        <v>208</v>
      </c>
    </row>
    <row r="8" spans="2:4" ht="79.5" customHeight="1" x14ac:dyDescent="0.25">
      <c r="B8" s="34" t="s">
        <v>209</v>
      </c>
      <c r="C8" s="35" t="s">
        <v>210</v>
      </c>
      <c r="D8" s="35" t="s">
        <v>211</v>
      </c>
    </row>
    <row r="9" spans="2:4" ht="79.5" customHeight="1" x14ac:dyDescent="0.25">
      <c r="B9" s="34" t="s">
        <v>212</v>
      </c>
      <c r="C9" s="35" t="s">
        <v>213</v>
      </c>
      <c r="D9" s="35" t="s">
        <v>214</v>
      </c>
    </row>
    <row r="10" spans="2:4" ht="79.5" customHeight="1" x14ac:dyDescent="0.25">
      <c r="B10" s="34" t="s">
        <v>215</v>
      </c>
      <c r="C10" s="35" t="s">
        <v>216</v>
      </c>
      <c r="D10" s="35" t="s">
        <v>217</v>
      </c>
    </row>
    <row r="11" spans="2:4" ht="79.5" customHeight="1" x14ac:dyDescent="0.25">
      <c r="B11" s="34" t="s">
        <v>218</v>
      </c>
      <c r="C11" s="35" t="s">
        <v>219</v>
      </c>
      <c r="D11" s="35" t="s">
        <v>220</v>
      </c>
    </row>
    <row r="12" spans="2:4" ht="79.5" customHeight="1" x14ac:dyDescent="0.25">
      <c r="B12" s="34" t="s">
        <v>221</v>
      </c>
      <c r="C12" s="35" t="s">
        <v>222</v>
      </c>
      <c r="D12" s="35" t="s">
        <v>223</v>
      </c>
    </row>
    <row r="13" spans="2:4" ht="79.5" customHeight="1" x14ac:dyDescent="0.25">
      <c r="B13" s="34" t="s">
        <v>224</v>
      </c>
      <c r="C13" s="35" t="s">
        <v>225</v>
      </c>
      <c r="D13" s="35" t="s">
        <v>226</v>
      </c>
    </row>
    <row r="14" spans="2:4" ht="79.5" customHeight="1" x14ac:dyDescent="0.25">
      <c r="B14" s="34" t="s">
        <v>227</v>
      </c>
      <c r="C14" s="35" t="s">
        <v>228</v>
      </c>
      <c r="D14" s="35" t="s">
        <v>229</v>
      </c>
    </row>
  </sheetData>
  <mergeCells count="2">
    <mergeCell ref="B1:D1"/>
    <mergeCell ref="B3:D3"/>
  </mergeCells>
  <pageMargins left="0.75" right="0.75" top="1" bottom="1" header="0.511811023622047" footer="0.511811023622047"/>
  <pageSetup paperSize="9" orientation="portrait" horizontalDpi="300" verticalDpi="300"/>
</worksheet>
</file>

<file path=docMetadata/LabelInfo.xml><?xml version="1.0" encoding="utf-8"?>
<clbl:labelList xmlns:clbl="http://schemas.microsoft.com/office/2020/mipLabelMetadata">
  <clbl:label id="{defa4170-0d19-0005-0004-bc88714345d2}" enabled="1" method="Standard" siteId="{8d35d79e-144a-4cd6-8df1-5d70d87aae5d}" contentBits="0" removed="0"/>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1. Basic Syntax</vt:lpstr>
      <vt:lpstr>2. Single Sort</vt:lpstr>
      <vt:lpstr>3. Multi-Column Sort</vt:lpstr>
      <vt:lpstr>4. TOP </vt:lpstr>
      <vt:lpstr>4. BOTTOM</vt:lpstr>
      <vt:lpstr>5. Sort + Suppress</vt:lpstr>
      <vt:lpstr>6. Excel Table Sort</vt:lpstr>
      <vt:lpstr>7. Common Mistakes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Karen Hewitt</cp:lastModifiedBy>
  <cp:revision>0</cp:revision>
  <dcterms:created xsi:type="dcterms:W3CDTF">2026-04-28T18:08:02Z</dcterms:created>
  <dcterms:modified xsi:type="dcterms:W3CDTF">2026-04-30T14:45:01Z</dcterms:modified>
  <dc:language>en-US</dc:language>
</cp:coreProperties>
</file>