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RW Systems\RWDemo\Reports\"/>
    </mc:Choice>
  </mc:AlternateContent>
  <xr:revisionPtr revIDLastSave="0" documentId="8_{61FDEFD2-34F4-4D78-9663-43C6D7C2819D}" xr6:coauthVersionLast="47" xr6:coauthVersionMax="47" xr10:uidLastSave="{00000000-0000-0000-0000-000000000000}"/>
  <bookViews>
    <workbookView xWindow="-28920" yWindow="-120" windowWidth="29040" windowHeight="15720" tabRatio="596" xr2:uid="{00000000-000D-0000-FFFF-FFFF00000000}"/>
  </bookViews>
  <sheets>
    <sheet name="README" sheetId="1" r:id="rId1"/>
    <sheet name="1. Basic Syntax" sheetId="2" r:id="rId2"/>
    <sheet name="2. Horizontal Break" sheetId="3" r:id="rId3"/>
    <sheet name="3. Vertical Break" sheetId="4" r:id="rId4"/>
    <sheet name="4. Position Parameter" sheetId="5" r:id="rId5"/>
    <sheet name="5. Conditional Logic" sheetId="6" r:id="rId6"/>
    <sheet name="6. Common Mistakes" sheetId="7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6" l="1"/>
  <c r="D14" i="6"/>
  <c r="D13" i="6"/>
  <c r="D12" i="6"/>
  <c r="D11" i="6"/>
  <c r="D10" i="6"/>
  <c r="D9" i="6"/>
  <c r="D8" i="6"/>
  <c r="D7" i="6"/>
  <c r="D6" i="6"/>
  <c r="C15" i="5"/>
  <c r="C14" i="5"/>
  <c r="C13" i="5"/>
  <c r="C9" i="5"/>
  <c r="C8" i="5"/>
  <c r="C7" i="5"/>
  <c r="M11" i="4"/>
  <c r="M13" i="4"/>
  <c r="L11" i="4"/>
  <c r="L13" i="4"/>
  <c r="K11" i="4"/>
  <c r="K13" i="4"/>
  <c r="J11" i="4"/>
  <c r="J13" i="4"/>
  <c r="I11" i="4"/>
  <c r="I13" i="4"/>
  <c r="H11" i="4"/>
  <c r="H13" i="4"/>
  <c r="G11" i="4"/>
  <c r="G13" i="4"/>
  <c r="F11" i="4"/>
  <c r="F13" i="4"/>
  <c r="E11" i="4"/>
  <c r="E13" i="4"/>
  <c r="D11" i="4"/>
  <c r="D13" i="4"/>
  <c r="C11" i="4"/>
  <c r="C13" i="4"/>
  <c r="B11" i="4"/>
  <c r="B13" i="4"/>
  <c r="M6" i="4"/>
  <c r="L6" i="4"/>
  <c r="K6" i="4"/>
  <c r="J6" i="4"/>
  <c r="I6" i="4"/>
  <c r="H6" i="4"/>
  <c r="G6" i="4"/>
  <c r="F6" i="4"/>
  <c r="E6" i="4"/>
  <c r="D6" i="4"/>
  <c r="C6" i="4"/>
  <c r="G17" i="3"/>
  <c r="G16" i="3"/>
  <c r="G15" i="3"/>
  <c r="G14" i="3"/>
  <c r="G13" i="3"/>
  <c r="G12" i="3"/>
  <c r="G11" i="3"/>
  <c r="G10" i="3"/>
  <c r="G9" i="3"/>
  <c r="G8" i="3"/>
  <c r="G7" i="3"/>
  <c r="C25" i="2"/>
  <c r="C24" i="2"/>
  <c r="C23" i="2"/>
  <c r="C22" i="2"/>
  <c r="C17" i="2"/>
  <c r="C16" i="2"/>
  <c r="C12" i="2"/>
  <c r="C11" i="2"/>
  <c r="C10" i="2"/>
  <c r="C6" i="2"/>
  <c r="C5" i="2"/>
</calcChain>
</file>

<file path=xl/sharedStrings.xml><?xml version="1.0" encoding="utf-8"?>
<sst xmlns="http://schemas.openxmlformats.org/spreadsheetml/2006/main" count="339" uniqueCount="279">
  <si>
    <t>RWPAGEBREAK — Reportworq Excel Function Reference &amp; Examples</t>
  </si>
  <si>
    <t>Function</t>
  </si>
  <si>
    <t>RWPAGEBREAK( Enable, [Direction], [Position] )</t>
  </si>
  <si>
    <t>Purpose</t>
  </si>
  <si>
    <t>Inserts a horizontal or vertical page break at the cell where the formula is placed, at report generation time. Lets page breaks be driven dynamically by report data — for example, breaking after each group of rows rather than relying on fixed manual breaks.</t>
  </si>
  <si>
    <t>Enable</t>
  </si>
  <si>
    <t>Required. Boolean. TRUE inserts the page break at this cell; FALSE = no-op. Typically a formula that detects a new section, e.g. =A6&lt;&gt;A5.</t>
  </si>
  <si>
    <t>Direction</t>
  </si>
  <si>
    <t>Optional. TRUE or "Horizontal" inserts a row break. FALSE or "Vertical" inserts a column break. Default: TRUE / "Horizontal".</t>
  </si>
  <si>
    <t>Position</t>
  </si>
  <si>
    <t>Optional. TRUE or "Before" places the break before the row/column. FALSE or "After" places it after. Default: TRUE / "Before".</t>
  </si>
  <si>
    <t>Important</t>
  </si>
  <si>
    <t>RWPAGEBREAK does NOT remove or replace existing page breaks defined in the workbook. It only ADDS breaks based on the formula condition at runtime.</t>
  </si>
  <si>
    <t>Page setup warning</t>
  </si>
  <si>
    <t>If the worksheet is set to "fit to N pages tall" (for horizontal breaks) or "fit to N pages wide" (for vertical breaks), RWPAGEBREAK will throw an error — those settings are incompatible. Use a percent-scale page setup instead.</t>
  </si>
  <si>
    <t>Scope</t>
  </si>
  <si>
    <t>Provider-agnostic. Works with any Reportworq datasource (IBM Planning Analytics, Anaplan, Workday Adaptive, SQL, Pigment, Oracle EPM, etc.).</t>
  </si>
  <si>
    <t>Reference</t>
  </si>
  <si>
    <t>https://docs.reportworq.com/docs/excel-functions-general/#rwpagebreak</t>
  </si>
  <si>
    <t>How to read this workbook</t>
  </si>
  <si>
    <t>Every example formula appears in FOUR columns:
  1.  "Formula (display)"  — blue, italic. Stored as TEXT so the syntax is readable on screen.
  2.  "Formula (live)"     — green tint. Stored as a real formula. Excel shows #NAME? (expected — RWPAGEBREAK isn't native), but Reportworq evaluates it at runtime.
  3.  "What it does"       — generic description of the formula behavior.
  4.  "Expected outcome"   — amber tint. Specific to THIS workbook: what should happen at this exact cell when Reportworq processes the file. Use this column to verify your test results — what you observe should match what's listed here.</t>
  </si>
  <si>
    <t>Worksheets in this workbook</t>
  </si>
  <si>
    <t>Sheet</t>
  </si>
  <si>
    <t>What it shows</t>
  </si>
  <si>
    <t>1. Basic Syntax</t>
  </si>
  <si>
    <t>All argument combinations from the official docs — including the optional Direction and Position parameters, with TRUE/FALSE and string forms shown side by side.</t>
  </si>
  <si>
    <t>2. Horizontal Break</t>
  </si>
  <si>
    <t>P&amp;L sliced by Region. Both display and live RWPAGEBREAK columns trigger a horizontal break each time the Region changes.</t>
  </si>
  <si>
    <t>3. Vertical Break</t>
  </si>
  <si>
    <t>Quarterly report. Display row + live row both trigger a vertical break each time the Quarter changes.</t>
  </si>
  <si>
    <t>4. Position Parameter</t>
  </si>
  <si>
    <t>Demonstrates the optional Position parameter — Before vs After — for both horizontal and vertical breaks.</t>
  </si>
  <si>
    <t>5. Conditional Logic</t>
  </si>
  <si>
    <t>Common conditional patterns: AND/OR, ignore-blanks, suppress-on-totals, every-N rows, FIND() heading detection (matches the official docs example).</t>
  </si>
  <si>
    <t>6. Common Mistakes</t>
  </si>
  <si>
    <t>Pitfalls to avoid, including the page-setup conflict and direction-typo issues.</t>
  </si>
  <si>
    <t>Basic Syntax — RWPAGEBREAK( Enable, [Direction], [Position] )</t>
  </si>
  <si>
    <t>Default behavior — Direction omitted (defaults to Horizontal)</t>
  </si>
  <si>
    <t>Formula (display)</t>
  </si>
  <si>
    <t>Formula (live)</t>
  </si>
  <si>
    <t>What it does</t>
  </si>
  <si>
    <t>Expected outcome here</t>
  </si>
  <si>
    <t>=RWPAGEBREAK(TRUE)</t>
  </si>
  <si>
    <t>Inserts a horizontal page break above this cell (Direction defaults to TRUE/"Horizontal", Position defaults to "Before").</t>
  </si>
  <si>
    <t>When run through Reportworq: a horizontal page break will be inserted ABOVE this row. The cell above this one will be on a different page from this cell.</t>
  </si>
  <si>
    <t>=RWPAGEBREAK(FALSE)</t>
  </si>
  <si>
    <t>No-op. Enable=FALSE so nothing happens, regardless of the other defaults.</t>
  </si>
  <si>
    <t>When run through Reportworq: nothing happens. No page break is inserted. The formula is a no-op because Enable is FALSE.</t>
  </si>
  <si>
    <t>Horizontal break — three equivalent ways to write it</t>
  </si>
  <si>
    <t>Equivalent to the two below — Direction defaults to "Horizontal".</t>
  </si>
  <si>
    <t>Horizontal break inserted ABOVE this row when Reportworq runs. Same outcome as the two rows below.</t>
  </si>
  <si>
    <t>=RWPAGEBREAK(TRUE, TRUE)</t>
  </si>
  <si>
    <t>TRUE for Direction also means "Horizontal".</t>
  </si>
  <si>
    <t>Horizontal break inserted ABOVE this row. The TRUE in position 2 just makes the default explicit.</t>
  </si>
  <si>
    <t>=RWPAGEBREAK(TRUE, "Horizontal")</t>
  </si>
  <si>
    <t>Explicit string form. All three insert a horizontal page break above this row.</t>
  </si>
  <si>
    <t>Horizontal break inserted ABOVE this row. Most readable form — the string makes the intent obvious.</t>
  </si>
  <si>
    <t>Vertical break — two equivalent ways to write it</t>
  </si>
  <si>
    <t>=RWPAGEBREAK(TRUE, FALSE)</t>
  </si>
  <si>
    <t>FALSE for Direction means "Vertical".</t>
  </si>
  <si>
    <t>Vertical break inserted to the LEFT of this column. The cell to the left will be on a different page from this cell.</t>
  </si>
  <si>
    <t>=RWPAGEBREAK(TRUE, "Vertical")</t>
  </si>
  <si>
    <t>Explicit string form. Both insert a vertical page break to the left of this column.</t>
  </si>
  <si>
    <t>Vertical break inserted to the LEFT of this column. Same outcome as the row above.</t>
  </si>
  <si>
    <t>Driving Enable from a condition</t>
  </si>
  <si>
    <t>In real reports the Enable argument is almost always an expression — not a hard-coded TRUE/FALSE. The most common pattern is a value-changed test. The Expected outcome column below describes what the formula evaluates to GIVEN this workbook's actual cell values (rows 4-6 of column A are empty here, so most of these formulas resolve to TRUE/no-op based on emptiness).</t>
  </si>
  <si>
    <t>Pattern</t>
  </si>
  <si>
    <t>=RWPAGEBREAK(A6&lt;&gt;A5, "Horizontal")</t>
  </si>
  <si>
    <t>Break before the row whenever the value in A6 differs from A5 (a group change).</t>
  </si>
  <si>
    <t>In THIS workbook A5 and A6 are both empty, so A6&lt;&gt;A5 evaluates to FALSE. No break is inserted. In a real report with grouping data this would fire on group changes.</t>
  </si>
  <si>
    <t>=RWPAGEBREAK(FIND("Summary", $B40)=1, "Horizontal")</t>
  </si>
  <si>
    <t>Straight from the docs: insert a horizontal break before row 40 if cell B40 starts with "Summary".</t>
  </si>
  <si>
    <t>In THIS workbook B40 contains the stub text "Summary (stub for FIND example above)" — it starts with "Summary" at position 1. So the formula evaluates to TRUE and a horizontal break would be inserted above THIS row when Reportworq runs.</t>
  </si>
  <si>
    <t>=RWPAGEBREAK(B$3&lt;&gt;A$3, "Vertical")</t>
  </si>
  <si>
    <t>Vertical break each time the column header in row 3 differs from the previous column.</t>
  </si>
  <si>
    <t>In THIS workbook A3 is empty and B3 contains "Driving Enable from a condition" — they differ, so the formula evaluates to TRUE. A vertical break would be inserted to the left of this column.</t>
  </si>
  <si>
    <t>=RWPAGEBREAK(MOD(ROW(),20)=0, "Horizontal")</t>
  </si>
  <si>
    <t>Forces a horizontal break every 20 rows — useful for fixed-pagination reports.</t>
  </si>
  <si>
    <t>In THIS workbook the formula is on row 25. MOD(25,20)=5, which is not 0, so no break fires here. Move this formula to row 20, 40, 60, etc. to see it trigger.</t>
  </si>
  <si>
    <t>Summary (stub for FIND example above)</t>
  </si>
  <si>
    <t>Horizontal Page Break — break each time Region changes</t>
  </si>
  <si>
    <t>Scenario: a P&amp;L bursted by Region. Each Region should print on its own page. Column F shows the formula as readable text. Column G is the SAME formula stored live — Excel will display #NAME? in column G (expected), but Reportworq inserts a real page break when it runs the job. Column H tells you SPECIFICALLY what should happen at each row given the data in this workbook — use it to verify your test results match expectations.</t>
  </si>
  <si>
    <t>Region</t>
  </si>
  <si>
    <t>Product</t>
  </si>
  <si>
    <t>Q1</t>
  </si>
  <si>
    <t>Q2</t>
  </si>
  <si>
    <t>Q3</t>
  </si>
  <si>
    <t>RWPAGEBREAK formula (display)</t>
  </si>
  <si>
    <t>RWPAGEBREAK formula (live)</t>
  </si>
  <si>
    <t>North America</t>
  </si>
  <si>
    <t>Widgets</t>
  </si>
  <si>
    <t>(no formula on first data row — nothing to break before)</t>
  </si>
  <si>
    <t>No formula on the first data row. The North America block starts here as the first page of output.</t>
  </si>
  <si>
    <t>Gadgets</t>
  </si>
  <si>
    <t>=RWPAGEBREAK(A7&lt;&gt;A6)</t>
  </si>
  <si>
    <t>No break. A7 ("North America") = A6 ("North America"), so Enable=FALSE. This row prints on the same page as the previous row (still in North America).</t>
  </si>
  <si>
    <t>Services</t>
  </si>
  <si>
    <t>=RWPAGEBREAK(A8&lt;&gt;A7)</t>
  </si>
  <si>
    <t>No break. A8 ("North America") = A7 ("North America"), so Enable=FALSE. This row prints on the same page as the previous row (still in North America).</t>
  </si>
  <si>
    <t>EMEA</t>
  </si>
  <si>
    <t>=RWPAGEBREAK(A9&lt;&gt;A8)</t>
  </si>
  <si>
    <t>BREAK FIRES. A9 ("EMEA") &lt;&gt; A8 ("North America"), so Enable=TRUE. A horizontal page break is inserted above this row — the EMEA block starts on a new page.</t>
  </si>
  <si>
    <t>=RWPAGEBREAK(A10&lt;&gt;A9)</t>
  </si>
  <si>
    <t>No break. A10 ("EMEA") = A9 ("EMEA"), so Enable=FALSE. This row prints on the same page as the previous row (still in EMEA).</t>
  </si>
  <si>
    <t>=RWPAGEBREAK(A11&lt;&gt;A10)</t>
  </si>
  <si>
    <t>No break. A11 ("EMEA") = A10 ("EMEA"), so Enable=FALSE. This row prints on the same page as the previous row (still in EMEA).</t>
  </si>
  <si>
    <t>APAC</t>
  </si>
  <si>
    <t>=RWPAGEBREAK(A12&lt;&gt;A11)</t>
  </si>
  <si>
    <t>BREAK FIRES. A12 ("APAC") &lt;&gt; A11 ("EMEA"), so Enable=TRUE. A horizontal page break is inserted above this row — the APAC block starts on a new page.</t>
  </si>
  <si>
    <t>=RWPAGEBREAK(A13&lt;&gt;A12)</t>
  </si>
  <si>
    <t>No break. A13 ("APAC") = A12 ("APAC"), so Enable=FALSE. This row prints on the same page as the previous row (still in APAC).</t>
  </si>
  <si>
    <t>=RWPAGEBREAK(A14&lt;&gt;A13)</t>
  </si>
  <si>
    <t>No break. A14 ("APAC") = A13 ("APAC"), so Enable=FALSE. This row prints on the same page as the previous row (still in APAC).</t>
  </si>
  <si>
    <t>LATAM</t>
  </si>
  <si>
    <t>=RWPAGEBREAK(A15&lt;&gt;A14)</t>
  </si>
  <si>
    <t>BREAK FIRES. A15 ("LATAM") &lt;&gt; A14 ("APAC"), so Enable=TRUE. A horizontal page break is inserted above this row — the LATAM block starts on a new page.</t>
  </si>
  <si>
    <t>=RWPAGEBREAK(A16&lt;&gt;A15)</t>
  </si>
  <si>
    <t>No break. A16 ("LATAM") = A15 ("LATAM"), so Enable=FALSE. This row prints on the same page as the previous row (still in LATAM).</t>
  </si>
  <si>
    <t>=RWPAGEBREAK(A17&lt;&gt;A16)</t>
  </si>
  <si>
    <t>No break. A17 ("LATAM") = A16 ("LATAM"), so Enable=FALSE. This row prints on the same page as the previous row (still in LATAM).</t>
  </si>
  <si>
    <t>Legend:</t>
  </si>
  <si>
    <t>rows where the Region differs from the row above; the break fires here.</t>
  </si>
  <si>
    <t>green tint = live formula column (Excel shows #NAME?, Reportworq evaluates it at runtime).</t>
  </si>
  <si>
    <t>amber tint = expected outcome (what should happen at this specific cell when Reportworq runs).</t>
  </si>
  <si>
    <t>Vertical Page Break — break each time Quarter changes</t>
  </si>
  <si>
    <t>Scenario: a wide monthly report (Jan-Dec) where each quarter should print on its own landscape page. Row 4 holds the Quarter labels; row 5 shows the RWPAGEBREAK formulas as readable text; row 6 holds the SAME formulas live (green tint); row 7 shows the expected outcome for each column (amber tint) given this workbook's quarter data.</t>
  </si>
  <si>
    <t>Quarter</t>
  </si>
  <si>
    <t>Q4</t>
  </si>
  <si>
    <t>RWPAGEBREAK (display)</t>
  </si>
  <si>
    <t>(first column - no break)</t>
  </si>
  <si>
    <t>=RWPAGEBREAK(C$4&lt;&gt;B$4, "Vertical")</t>
  </si>
  <si>
    <t>=RWPAGEBREAK(D$4&lt;&gt;C$4, "Vertical")</t>
  </si>
  <si>
    <t>=RWPAGEBREAK(E$4&lt;&gt;D$4, "Vertical")</t>
  </si>
  <si>
    <t>=RWPAGEBREAK(F$4&lt;&gt;E$4, "Vertical")</t>
  </si>
  <si>
    <t>=RWPAGEBREAK(G$4&lt;&gt;F$4, "Vertical")</t>
  </si>
  <si>
    <t>=RWPAGEBREAK(H$4&lt;&gt;G$4, "Vertical")</t>
  </si>
  <si>
    <t>=RWPAGEBREAK(I$4&lt;&gt;H$4, "Vertical")</t>
  </si>
  <si>
    <t>=RWPAGEBREAK(J$4&lt;&gt;I$4, "Vertical")</t>
  </si>
  <si>
    <t>=RWPAGEBREAK(K$4&lt;&gt;J$4, "Vertical")</t>
  </si>
  <si>
    <t>=RWPAGEBREAK(L$4&lt;&gt;K$4, "Vertical")</t>
  </si>
  <si>
    <t>=RWPAGEBREAK(M$4&lt;&gt;L$4, "Vertical")</t>
  </si>
  <si>
    <t>RWPAGEBREAK (live)</t>
  </si>
  <si>
    <t>Expected outcome</t>
  </si>
  <si>
    <t>No formula in B5/B6 (first column). Jan starts the first page.</t>
  </si>
  <si>
    <t>No break. C4 (Q1) = B4 (Q1). Feb prints on the same page as Jan.</t>
  </si>
  <si>
    <t>No break. D4 (Q1) = C4 (Q1). Mar prints on the same page as Feb.</t>
  </si>
  <si>
    <t>BREAK FIRES. E4 (Q2) &lt;&gt; D4 (Q1). A vertical break is inserted to the left of column E — Apr starts a new page.</t>
  </si>
  <si>
    <t>No break. F4 (Q2) = E4 (Q2). May prints on the same page as Apr.</t>
  </si>
  <si>
    <t>No break. G4 (Q2) = F4 (Q2). Jun prints on the same page as May.</t>
  </si>
  <si>
    <t>BREAK FIRES. H4 (Q3) &lt;&gt; G4 (Q2). A vertical break is inserted to the left of column H — Jul starts a new page.</t>
  </si>
  <si>
    <t>No break. I4 (Q3) = H4 (Q3). Aug prints on the same page as Jul.</t>
  </si>
  <si>
    <t>No break. J4 (Q3) = I4 (Q3). Sep prints on the same page as Aug.</t>
  </si>
  <si>
    <t>BREAK FIRES. K4 (Q4) &lt;&gt; J4 (Q3). A vertical break is inserted to the left of column K — Oct starts a new page.</t>
  </si>
  <si>
    <t>No break. L4 (Q4) = K4 (Q4). Nov prints on the same page as Oct.</t>
  </si>
  <si>
    <t>No break. M4 (Q4) = L4 (Q4). Dec prints on the same page as Nov.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</si>
  <si>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</si>
  <si>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</si>
  <si>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</si>
  <si>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</si>
  <si>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</si>
  <si>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</si>
  <si>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</si>
  <si>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</si>
  <si>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</si>
  <si>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</si>
  <si>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</si>
  <si>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</si>
  <si>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</si>
  <si>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</si>
  <si>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COGS</t>
  </si>
  <si>
    <t>Gross Profit</t>
  </si>
  <si>
    <t>OpEx</t>
  </si>
  <si>
    <t>Operating Income</t>
  </si>
  <si>
    <t>columns where the Quarter differs from the column to the left; the vertical break fires here.</t>
  </si>
  <si>
    <t>green tint = live formula row (Excel shows #NAME?, Reportworq evaluates it at runtime).</t>
  </si>
  <si>
    <t>Position Parameter — Before vs After</t>
  </si>
  <si>
    <t>The third (optional) parameter, Position, controls whether the break is placed BEFORE or AFTER the row/column containing the formula. Default is TRUE / "Before". These examples come from the official docs.</t>
  </si>
  <si>
    <t>Horizontal break AFTER row 40 (formula placed in row 40)</t>
  </si>
  <si>
    <t>=RWPAGEBREAK(TRUE, TRUE, FALSE)</t>
  </si>
  <si>
    <t>TRUE = horizontal, FALSE for Position = "After".</t>
  </si>
  <si>
    <t>Horizontal break inserted AFTER this row when Reportworq runs. The cell BELOW this one will be on a different page from this cell.</t>
  </si>
  <si>
    <t>=RWPAGEBREAK(TRUE, "Horizontal", "After")</t>
  </si>
  <si>
    <t>String form — equivalent to the row above.</t>
  </si>
  <si>
    <t>Horizontal break inserted AFTER this row. Same outcome as the row above — string form is more readable.</t>
  </si>
  <si>
    <t>=RWPAGEBREAK(TRUE, TRUE, "After")</t>
  </si>
  <si>
    <t>Mixed form — also equivalent. Inserts a horizontal break AFTER the current row.</t>
  </si>
  <si>
    <t>Horizontal break inserted AFTER this row. Same outcome as the two rows above.</t>
  </si>
  <si>
    <t>Vertical break AFTER column N (formula placed in column N)</t>
  </si>
  <si>
    <t>=RWPAGEBREAK(TRUE, FALSE, FALSE)</t>
  </si>
  <si>
    <t>FALSE = vertical, FALSE for Position = "After".</t>
  </si>
  <si>
    <t>Vertical break inserted AFTER this column. The cell to the RIGHT of this one will be on a different page from this cell.</t>
  </si>
  <si>
    <t>=RWPAGEBREAK(TRUE, "Vertical", "After")</t>
  </si>
  <si>
    <t>String form — equivalent.</t>
  </si>
  <si>
    <t>Vertical break inserted AFTER this column. Same outcome as the row above.</t>
  </si>
  <si>
    <t>=RWPAGEBREAK(TRUE, FALSE, "After")</t>
  </si>
  <si>
    <t>Mixed form — also equivalent. Inserts a vertical break AFTER the current column.</t>
  </si>
  <si>
    <t>Vertical break inserted AFTER this column. Same outcome as the two rows above.</t>
  </si>
  <si>
    <t>When to use "After" instead of the default "Before"</t>
  </si>
  <si>
    <t>Use case</t>
  </si>
  <si>
    <t>Why "After" makes sense</t>
  </si>
  <si>
    <t>Group totals at end of section</t>
  </si>
  <si>
    <t>Place the formula on the SUBTOTAL row of each group (e.g., the "Total North America" row) with Position="After". The break fires after the totals print, keeping each group + its subtotal together on the same page.</t>
  </si>
  <si>
    <t>Section header should be at top of new page</t>
  </si>
  <si>
    <t>If you want the header row to anchor the top of the next page, the natural place to put the formula is on the row BEFORE the header — so use Position="After" on that prior row.</t>
  </si>
  <si>
    <t>Splitting wide reports after key columns</t>
  </si>
  <si>
    <t>For a vertical break that should appear immediately after a totals column (e.g., after a YTD column), place the formula in that column and use Position="After".</t>
  </si>
  <si>
    <t>Conditional Logic Patterns for RWPAGEBREAK</t>
  </si>
  <si>
    <t>The Enable argument is a Boolean expression. Below are common patterns used in production Reportworq reports. The 'When to use it' column is generic guidance; the 'Expected outcome' column tells you what would specifically happen at THIS cell given this workbook's data — so you can verify your test results.</t>
  </si>
  <si>
    <t>Pattern name</t>
  </si>
  <si>
    <t>When to use it (general)</t>
  </si>
  <si>
    <t>Group change</t>
  </si>
  <si>
    <t>Most common. Fires whenever the value in the grouping column differs from the row above.</t>
  </si>
  <si>
    <t>In THIS workbook A5 and A6 are both empty, so A6&lt;&gt;A5 evaluates to FALSE. No break fires here. (In a real grouped report the formula would evaluate against the actual data column.)</t>
  </si>
  <si>
    <t>Heading detected (docs example)</t>
  </si>
  <si>
    <t>Straight from the official docs. Fires when cell B40 starts with the text "Summary" — useful when section headings are embedded in a label column.</t>
  </si>
  <si>
    <t>In THIS workbook B40 contains the stub text "Summary (stub for FIND example above)" — it starts with "Summary" at position 1, so FIND(...)=1 evaluates to TRUE. A horizontal break WOULD fire above this row when run.</t>
  </si>
  <si>
    <t>Group change, ignore blanks</t>
  </si>
  <si>
    <t>=RWPAGEBREAK(AND(A6&lt;&gt;A5, A6&lt;&gt;""), "Horizontal")</t>
  </si>
  <si>
    <t>Prevents a phantom break when the grouping column has empty cells (gaps in data).</t>
  </si>
  <si>
    <t>In THIS workbook A5 and A6 are both empty. A6&lt;&gt;A5 is FALSE (they're equal — both empty), so the AND short-circuits to FALSE. No break fires. The formula's extra A6&lt;&gt;"" guard is what protects against phantom breaks in real data.</t>
  </si>
  <si>
    <t>Skip first data row</t>
  </si>
  <si>
    <t>=RWPAGEBREAK(AND(ROW()&gt;6, A6&lt;&gt;A5), "Horizontal")</t>
  </si>
  <si>
    <t>Belt-and-braces guard — ensures no break is inserted before the very first data row, even if the header row above happens to differ.</t>
  </si>
  <si>
    <t>In THIS workbook the formula sits in row 9. ROW()=9, so ROW()&gt;6 is TRUE. But A5 and A6 are both empty, so A6&lt;&gt;A5 is FALSE. AND evaluates to FALSE — no break fires.</t>
  </si>
  <si>
    <t>Multi-key change (Region OR Country)</t>
  </si>
  <si>
    <t>=RWPAGEBREAK(OR(A6&lt;&gt;A5, B6&lt;&gt;B5), "Horizontal")</t>
  </si>
  <si>
    <t>Break when either of two grouping columns changes. Useful for nested groups where each Country within each Region should also start a new page.</t>
  </si>
  <si>
    <t>In THIS workbook A5=A6 (both empty) so the first test is FALSE. B5="Pattern name" and B6="Group change" — they differ, so the second test is TRUE. OR(...) evaluates to TRUE and a horizontal break WOULD fire above this row when run.</t>
  </si>
  <si>
    <t>Suppress on subtotal rows</t>
  </si>
  <si>
    <t>=RWPAGEBREAK(AND(A6&lt;&gt;A5, LEFT(B6,5)&lt;&gt;"Total"), "Horizontal")</t>
  </si>
  <si>
    <t>Don't break before subtotal/footer rows. Detects rows whose label starts with "Total".</t>
  </si>
  <si>
    <t>In THIS workbook A5=A6 (both empty), so the first test in the AND is FALSE — short-circuit fails. No break fires. (The second test would also pass since B6="Group change" — but the first test's failure is enough.)</t>
  </si>
  <si>
    <t>Fixed every-N rows</t>
  </si>
  <si>
    <t>=RWPAGEBREAK(MOD(ROW()-6, 25)=0, "Horizontal")</t>
  </si>
  <si>
    <t>Forces a break every 25 data rows. Use when there is no natural grouping but you want predictable pagination (e.g., audit-style line listings).</t>
  </si>
  <si>
    <t>In THIS workbook the formula is on row 12. MOD(12-6, 25) = MOD(6, 25) = 6, which is not 0, so Enable=FALSE. No break fires here. The formula would trigger if placed on rows 6, 31, 56, 81, etc. (every 25 rows from row 6).</t>
  </si>
  <si>
    <t>Vertical break on quarter change</t>
  </si>
  <si>
    <t>Same idea as the row-grouping case, but for column groups.</t>
  </si>
  <si>
    <t>In THIS workbook B4 and C4 are both empty (this sheet has no data in row 4), so C$4&lt;&gt;B$4 evaluates to FALSE. No break fires. See sheet "3. Vertical Break" for a working version with real quarter-label data on row 4.</t>
  </si>
  <si>
    <t>Numeric threshold trigger</t>
  </si>
  <si>
    <t>=RWPAGEBREAK(SUM($C$6:C6)&gt;100000, "Vertical")</t>
  </si>
  <si>
    <t>Break when a running total crosses a threshold. Useful for volume-balanced output (each page contains roughly equal totals).</t>
  </si>
  <si>
    <t>In THIS workbook C6:C14 contain display-formula text (the formula strings themselves), not numbers. SUM ignores text and returns 0, which is not &gt; 100000. Enable=FALSE — no break. In a real numeric report this would trigger when the running sum crossed $100,000.</t>
  </si>
  <si>
    <t>Break after group total</t>
  </si>
  <si>
    <t>=RWPAGEBREAK(LEFT(B6,5)="Total", "Horizontal", "After")</t>
  </si>
  <si>
    <t>Combines Enable with Position="After" — break AFTER any row whose label starts with "Total", keeping each group and its subtotal together.</t>
  </si>
  <si>
    <t>In THIS workbook B6="Group change". LEFT("Group change", 5) = "Group" — not equal to "Total". Enable=FALSE, no break fires. In a real grouped P&amp;L this would fire after each "Total Region" row.</t>
  </si>
  <si>
    <t>Common Mistakes &amp; Pitfalls</t>
  </si>
  <si>
    <t>These are the issues that most often show up the first time someone uses RWPAGEBREAK in a real Reportworq job. Knowing them up front saves a lot of debugging.</t>
  </si>
  <si>
    <t>Mistake</t>
  </si>
  <si>
    <t>Why it fails</t>
  </si>
  <si>
    <t>Fix</t>
  </si>
  <si>
    <t>Page setup conflict (most common)</t>
  </si>
  <si>
    <t>Worksheet is set to "Fit to N pages tall" or "Fit to N pages wide" in Page Setup. Per the docs, this is incompatible with RWPAGEBREAK and will throw an error at runtime.</t>
  </si>
  <si>
    <t>Switch the worksheet to a percent-scale page setup (Page Setup -&gt; Scaling -&gt; "Adjust to: 100%"). Do this BEFORE adding RWPAGEBREAK formulas.</t>
  </si>
  <si>
    <t>Direction value confusion</t>
  </si>
  <si>
    <t>Mixing up TRUE/FALSE with "Horizontal"/"Vertical". The docs allow BOTH forms, but TRUE = horizontal and FALSE = vertical (it is not "TRUE = on, FALSE = off").</t>
  </si>
  <si>
    <t>Pick one form and stay consistent. The string form ("Horizontal" / "Vertical") is more readable and self-documenting; the Boolean form is more compact.</t>
  </si>
  <si>
    <t>Hard-coded TRUE on every row</t>
  </si>
  <si>
    <t>Writing =RWPAGEBREAK(TRUE) on every data row.</t>
  </si>
  <si>
    <t>You'll get a break on every row. Drive Enable from a condition (e.g., =A6&lt;&gt;A5).</t>
  </si>
  <si>
    <t>Forgetting the first-row guard</t>
  </si>
  <si>
    <t>A condition like =A6&lt;&gt;A5 evaluates to TRUE if A5 is the header row.</t>
  </si>
  <si>
    <t>Either start the formula on the second data row, or wrap with AND(ROW()&gt;{header_row}, ...).</t>
  </si>
  <si>
    <t>Expecting it to remove existing breaks</t>
  </si>
  <si>
    <t>Setting Enable=FALSE on a row that already has a manual page break in the workbook.</t>
  </si>
  <si>
    <t>RWPAGEBREAK only ADDS breaks — it never removes pre-existing manual breaks. Remove those manually in the source workbook.</t>
  </si>
  <si>
    <t>Using on a row that gets suppressed</t>
  </si>
  <si>
    <t>Combining RWPAGEBREAK with RWSUPPRESS on the same row.</t>
  </si>
  <si>
    <t>If RWSUPPRESS hides/deletes the row, the page break can be lost too. Put the page break on a row that is guaranteed to remain visible.</t>
  </si>
  <si>
    <t>Wrong cell reference style</t>
  </si>
  <si>
    <t>Using =RWPAGEBREAK(C4&lt;&gt;B4, "Vertical") and copying down — relative refs shift.</t>
  </si>
  <si>
    <t>Lock the row with $ for vertical breaks (C$4&lt;&gt;B$4) so the reference stays on the quarter-label row no matter where the formula is copied.</t>
  </si>
  <si>
    <t>Putting the formula far from the break point</t>
  </si>
  <si>
    <t>Placing RWPAGEBREAK in column Z when the break should be at row 50.</t>
  </si>
  <si>
    <t>The break is inserted at the LOCATION of the formula — above the row for horizontal, left of the column for vertical (or after, if Position="After"). Put it in (or near) the column that drives the grouping.</t>
  </si>
  <si>
    <t>Testing only in Excel, not Reportworq</t>
  </si>
  <si>
    <t>Excel renders RWPAGEBREAK as a name-error (the Reportworq add-in function is not registered with Excel itself).</t>
  </si>
  <si>
    <t>That's normal and expected — the live-formula columns in this workbook show #NAME? in Excel. The function is evaluated when Reportworq processes the file at runtime — test through Reportworq's Test Job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</si>
</sst>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i/>
      <sz val="10"/>
      <color rgb="FF0070C0"/>
      <name val="Arial"/>
      <family val="2"/>
    </font>
    <font>
      <sz val="10"/>
      <color rgb="FF375623"/>
      <name val="Arial"/>
      <family val="2"/>
    </font>
    <font>
      <sz val="10"/>
      <color rgb="FF7F6000"/>
      <name val="Arial"/>
      <family val="2"/>
    </font>
    <font>
      <i/>
      <sz val="10"/>
      <color rgb="FF595959"/>
      <name val="Arial"/>
      <family val="2"/>
    </font>
    <font>
      <b/>
      <sz val="10"/>
      <color rgb="FF9C000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CE4D6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F6600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indent="1"/>
    </xf>
    <xf numFmtId="0" fontId="3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indent="1"/>
    </xf>
    <xf numFmtId="0" fontId="3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 wrapText="1"/>
    </xf>
    <xf numFmtId="0" fontId="6" fillId="0" borderId="0" xfId="0" applyFont="1"/>
    <xf numFmtId="0" fontId="0" fillId="10" borderId="1" xfId="0" applyFill="1" applyBorder="1"/>
    <xf numFmtId="0" fontId="0" fillId="9" borderId="1" xfId="0" applyFill="1" applyBorder="1"/>
    <xf numFmtId="0" fontId="0" fillId="6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164" fontId="3" fillId="0" borderId="1" xfId="0" applyNumberFormat="1" applyFont="1" applyBorder="1"/>
    <xf numFmtId="0" fontId="6" fillId="0" borderId="1" xfId="0" applyFont="1" applyBorder="1" applyAlignment="1">
      <alignment vertical="center"/>
    </xf>
    <xf numFmtId="164" fontId="6" fillId="6" borderId="1" xfId="0" applyNumberFormat="1" applyFont="1" applyFill="1" applyBorder="1"/>
    <xf numFmtId="0" fontId="6" fillId="0" borderId="1" xfId="0" applyFont="1" applyBorder="1" applyAlignment="1">
      <alignment vertical="center" wrapText="1"/>
    </xf>
    <xf numFmtId="0" fontId="11" fillId="11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2E75B6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548235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zoomScaleNormal="100" workbookViewId="0">
      <selection sqref="A1:B1"/>
    </sheetView>
  </sheetViews>
  <sheetFormatPr defaultColWidth="8.7109375" defaultRowHeight="15" x14ac:dyDescent="0.25"/>
  <cols>
    <col min="1" max="1" width="22" customWidth="1"/>
    <col min="2" max="2" width="95" customWidth="1"/>
  </cols>
  <sheetData>
    <row r="1" spans="1:2" ht="30" customHeight="1" x14ac:dyDescent="0.25">
      <c r="A1" s="7" t="s">
        <v>0</v>
      </c>
      <c r="B1" s="7"/>
    </row>
    <row r="3" spans="1:2" ht="42" customHeight="1" x14ac:dyDescent="0.25">
      <c r="A3" s="8" t="s">
        <v>1</v>
      </c>
      <c r="B3" s="9" t="s">
        <v>2</v>
      </c>
    </row>
    <row r="4" spans="1:2" ht="42" customHeight="1" x14ac:dyDescent="0.25">
      <c r="A4" s="8" t="s">
        <v>3</v>
      </c>
      <c r="B4" s="9" t="s">
        <v>4</v>
      </c>
    </row>
    <row r="5" spans="1:2" ht="42" customHeight="1" x14ac:dyDescent="0.25">
      <c r="A5" s="8" t="s">
        <v>5</v>
      </c>
      <c r="B5" s="9" t="s">
        <v>6</v>
      </c>
    </row>
    <row r="6" spans="1:2" ht="42" customHeight="1" x14ac:dyDescent="0.25">
      <c r="A6" s="8" t="s">
        <v>7</v>
      </c>
      <c r="B6" s="9" t="s">
        <v>8</v>
      </c>
    </row>
    <row r="7" spans="1:2" ht="42" customHeight="1" x14ac:dyDescent="0.25">
      <c r="A7" s="8" t="s">
        <v>9</v>
      </c>
      <c r="B7" s="9" t="s">
        <v>10</v>
      </c>
    </row>
    <row r="8" spans="1:2" ht="42" customHeight="1" x14ac:dyDescent="0.25">
      <c r="A8" s="8" t="s">
        <v>11</v>
      </c>
      <c r="B8" s="9" t="s">
        <v>12</v>
      </c>
    </row>
    <row r="9" spans="1:2" ht="42" customHeight="1" x14ac:dyDescent="0.25">
      <c r="A9" s="8" t="s">
        <v>13</v>
      </c>
      <c r="B9" s="9" t="s">
        <v>14</v>
      </c>
    </row>
    <row r="10" spans="1:2" ht="42" customHeight="1" x14ac:dyDescent="0.25">
      <c r="A10" s="8" t="s">
        <v>15</v>
      </c>
      <c r="B10" s="9" t="s">
        <v>16</v>
      </c>
    </row>
    <row r="11" spans="1:2" ht="42" customHeight="1" x14ac:dyDescent="0.25">
      <c r="A11" s="8" t="s">
        <v>17</v>
      </c>
      <c r="B11" s="9" t="s">
        <v>18</v>
      </c>
    </row>
    <row r="13" spans="1:2" ht="21.75" customHeight="1" x14ac:dyDescent="0.25">
      <c r="A13" s="6" t="s">
        <v>19</v>
      </c>
      <c r="B13" s="6"/>
    </row>
    <row r="14" spans="1:2" ht="144.75" customHeight="1" x14ac:dyDescent="0.25">
      <c r="A14" s="5" t="s">
        <v>20</v>
      </c>
      <c r="B14" s="5"/>
    </row>
    <row r="16" spans="1:2" ht="21.75" customHeight="1" x14ac:dyDescent="0.25">
      <c r="A16" s="6" t="s">
        <v>21</v>
      </c>
      <c r="B16" s="6"/>
    </row>
    <row r="17" spans="1:2" x14ac:dyDescent="0.25">
      <c r="A17" s="10" t="s">
        <v>22</v>
      </c>
      <c r="B17" s="10" t="s">
        <v>23</v>
      </c>
    </row>
    <row r="18" spans="1:2" ht="27.75" customHeight="1" x14ac:dyDescent="0.25">
      <c r="A18" s="11" t="s">
        <v>24</v>
      </c>
      <c r="B18" s="12" t="s">
        <v>25</v>
      </c>
    </row>
    <row r="19" spans="1:2" ht="27.75" customHeight="1" x14ac:dyDescent="0.25">
      <c r="A19" s="11" t="s">
        <v>26</v>
      </c>
      <c r="B19" s="12" t="s">
        <v>27</v>
      </c>
    </row>
    <row r="20" spans="1:2" ht="27.75" customHeight="1" x14ac:dyDescent="0.25">
      <c r="A20" s="11" t="s">
        <v>28</v>
      </c>
      <c r="B20" s="12" t="s">
        <v>29</v>
      </c>
    </row>
    <row r="21" spans="1:2" ht="27.75" customHeight="1" x14ac:dyDescent="0.25">
      <c r="A21" s="11" t="s">
        <v>30</v>
      </c>
      <c r="B21" s="12" t="s">
        <v>31</v>
      </c>
    </row>
    <row r="22" spans="1:2" ht="27.75" customHeight="1" x14ac:dyDescent="0.25">
      <c r="A22" s="11" t="s">
        <v>32</v>
      </c>
      <c r="B22" s="12" t="s">
        <v>33</v>
      </c>
    </row>
    <row r="23" spans="1:2" ht="27.75" customHeight="1" x14ac:dyDescent="0.25">
      <c r="A23" s="11" t="s">
        <v>34</v>
      </c>
      <c r="B23" s="12" t="s">
        <v>35</v>
      </c>
    </row>
  </sheetData>
  <mergeCells count="4">
    <mergeCell ref="A1:B1"/>
    <mergeCell ref="A13:B13"/>
    <mergeCell ref="A14:B14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0"/>
  <sheetViews>
    <sheetView zoomScaleNormal="100" workbookViewId="0"/>
  </sheetViews>
  <sheetFormatPr defaultColWidth="8.7109375" defaultRowHeight="15" x14ac:dyDescent="0.25"/>
  <cols>
    <col min="1" max="1" width="5" customWidth="1"/>
    <col min="2" max="3" width="42" customWidth="1"/>
    <col min="4" max="4" width="50" customWidth="1"/>
    <col min="5" max="5" width="45" customWidth="1"/>
  </cols>
  <sheetData>
    <row r="1" spans="2:5" ht="27.75" customHeight="1" x14ac:dyDescent="0.25">
      <c r="B1" s="7" t="s">
        <v>36</v>
      </c>
      <c r="C1" s="7"/>
      <c r="D1" s="7"/>
      <c r="E1" s="7"/>
    </row>
    <row r="3" spans="2:5" ht="21.75" customHeight="1" x14ac:dyDescent="0.25">
      <c r="B3" s="6" t="s">
        <v>37</v>
      </c>
      <c r="C3" s="6"/>
      <c r="D3" s="6"/>
      <c r="E3" s="6"/>
    </row>
    <row r="4" spans="2:5" ht="31.5" customHeight="1" x14ac:dyDescent="0.25">
      <c r="B4" s="10" t="s">
        <v>38</v>
      </c>
      <c r="C4" s="13" t="s">
        <v>39</v>
      </c>
      <c r="D4" s="10" t="s">
        <v>40</v>
      </c>
      <c r="E4" s="14" t="s">
        <v>41</v>
      </c>
    </row>
    <row r="5" spans="2:5" ht="49.5" customHeight="1" x14ac:dyDescent="0.25">
      <c r="B5" s="15" t="s">
        <v>42</v>
      </c>
      <c r="C5" s="16" t="e">
        <f ca="1">rwpagebreak(TRUE())</f>
        <v>#NAME?</v>
      </c>
      <c r="D5" s="12" t="s">
        <v>43</v>
      </c>
      <c r="E5" s="17" t="s">
        <v>44</v>
      </c>
    </row>
    <row r="6" spans="2:5" ht="49.5" customHeight="1" x14ac:dyDescent="0.25">
      <c r="B6" s="15" t="s">
        <v>45</v>
      </c>
      <c r="C6" s="16" t="e">
        <f ca="1">rwpagebreak(FALSE())</f>
        <v>#NAME?</v>
      </c>
      <c r="D6" s="12" t="s">
        <v>46</v>
      </c>
      <c r="E6" s="17" t="s">
        <v>47</v>
      </c>
    </row>
    <row r="8" spans="2:5" ht="21.75" customHeight="1" x14ac:dyDescent="0.25">
      <c r="B8" s="6" t="s">
        <v>48</v>
      </c>
      <c r="C8" s="6"/>
      <c r="D8" s="6"/>
      <c r="E8" s="6"/>
    </row>
    <row r="9" spans="2:5" ht="31.5" customHeight="1" x14ac:dyDescent="0.25">
      <c r="B9" s="10" t="s">
        <v>38</v>
      </c>
      <c r="C9" s="13" t="s">
        <v>39</v>
      </c>
      <c r="D9" s="10" t="s">
        <v>40</v>
      </c>
      <c r="E9" s="14" t="s">
        <v>41</v>
      </c>
    </row>
    <row r="10" spans="2:5" ht="43.5" customHeight="1" x14ac:dyDescent="0.25">
      <c r="B10" s="15" t="s">
        <v>42</v>
      </c>
      <c r="C10" s="16" t="e">
        <f ca="1">rwpagebreak(TRUE())</f>
        <v>#NAME?</v>
      </c>
      <c r="D10" s="12" t="s">
        <v>49</v>
      </c>
      <c r="E10" s="17" t="s">
        <v>50</v>
      </c>
    </row>
    <row r="11" spans="2:5" ht="43.5" customHeight="1" x14ac:dyDescent="0.25">
      <c r="B11" s="15" t="s">
        <v>51</v>
      </c>
      <c r="C11" s="16" t="e">
        <f ca="1">rwpagebreak(TRUE(), TRUE())</f>
        <v>#NAME?</v>
      </c>
      <c r="D11" s="12" t="s">
        <v>52</v>
      </c>
      <c r="E11" s="17" t="s">
        <v>53</v>
      </c>
    </row>
    <row r="12" spans="2:5" ht="43.5" customHeight="1" x14ac:dyDescent="0.25">
      <c r="B12" s="15" t="s">
        <v>54</v>
      </c>
      <c r="C12" s="16" t="e">
        <f ca="1">rwpagebreak(TRUE(), "Horizontal")</f>
        <v>#NAME?</v>
      </c>
      <c r="D12" s="12" t="s">
        <v>55</v>
      </c>
      <c r="E12" s="17" t="s">
        <v>56</v>
      </c>
    </row>
    <row r="14" spans="2:5" ht="21.75" customHeight="1" x14ac:dyDescent="0.25">
      <c r="B14" s="6" t="s">
        <v>57</v>
      </c>
      <c r="C14" s="6"/>
      <c r="D14" s="6"/>
      <c r="E14" s="6"/>
    </row>
    <row r="15" spans="2:5" ht="31.5" customHeight="1" x14ac:dyDescent="0.25">
      <c r="B15" s="10" t="s">
        <v>38</v>
      </c>
      <c r="C15" s="13" t="s">
        <v>39</v>
      </c>
      <c r="D15" s="10" t="s">
        <v>40</v>
      </c>
      <c r="E15" s="14" t="s">
        <v>41</v>
      </c>
    </row>
    <row r="16" spans="2:5" ht="43.5" customHeight="1" x14ac:dyDescent="0.25">
      <c r="B16" s="15" t="s">
        <v>58</v>
      </c>
      <c r="C16" s="16" t="e">
        <f ca="1">rwpagebreak(TRUE(), FALSE())</f>
        <v>#NAME?</v>
      </c>
      <c r="D16" s="12" t="s">
        <v>59</v>
      </c>
      <c r="E16" s="17" t="s">
        <v>60</v>
      </c>
    </row>
    <row r="17" spans="2:5" ht="43.5" customHeight="1" x14ac:dyDescent="0.25">
      <c r="B17" s="15" t="s">
        <v>61</v>
      </c>
      <c r="C17" s="16" t="e">
        <f ca="1">rwpagebreak(TRUE(), "Vertical")</f>
        <v>#NAME?</v>
      </c>
      <c r="D17" s="12" t="s">
        <v>62</v>
      </c>
      <c r="E17" s="17" t="s">
        <v>63</v>
      </c>
    </row>
    <row r="19" spans="2:5" ht="21.75" customHeight="1" x14ac:dyDescent="0.25">
      <c r="B19" s="6" t="s">
        <v>64</v>
      </c>
      <c r="C19" s="6"/>
      <c r="D19" s="6"/>
      <c r="E19" s="6"/>
    </row>
    <row r="20" spans="2:5" ht="49.5" customHeight="1" x14ac:dyDescent="0.25">
      <c r="B20" s="5" t="s">
        <v>65</v>
      </c>
      <c r="C20" s="5"/>
      <c r="D20" s="5"/>
      <c r="E20" s="5"/>
    </row>
    <row r="21" spans="2:5" ht="31.5" customHeight="1" x14ac:dyDescent="0.25">
      <c r="B21" s="10" t="s">
        <v>38</v>
      </c>
      <c r="C21" s="13" t="s">
        <v>39</v>
      </c>
      <c r="D21" s="10" t="s">
        <v>66</v>
      </c>
      <c r="E21" s="14" t="s">
        <v>41</v>
      </c>
    </row>
    <row r="22" spans="2:5" ht="60" customHeight="1" x14ac:dyDescent="0.25">
      <c r="B22" s="15" t="s">
        <v>67</v>
      </c>
      <c r="C22" s="16" t="e">
        <f ca="1">rwpagebreak(A6&lt;&gt;A5, "Horizontal")</f>
        <v>#NAME?</v>
      </c>
      <c r="D22" s="12" t="s">
        <v>68</v>
      </c>
      <c r="E22" s="17" t="s">
        <v>69</v>
      </c>
    </row>
    <row r="23" spans="2:5" ht="60" customHeight="1" x14ac:dyDescent="0.25">
      <c r="B23" s="15" t="s">
        <v>70</v>
      </c>
      <c r="C23" s="16" t="e">
        <f ca="1">rwpagebreak(FIND("Summary", $B40)=1, "Horizontal")</f>
        <v>#NAME?</v>
      </c>
      <c r="D23" s="12" t="s">
        <v>71</v>
      </c>
      <c r="E23" s="17" t="s">
        <v>72</v>
      </c>
    </row>
    <row r="24" spans="2:5" ht="60" customHeight="1" x14ac:dyDescent="0.25">
      <c r="B24" s="15" t="s">
        <v>73</v>
      </c>
      <c r="C24" s="16" t="e">
        <f ca="1">rwpagebreak(B$3&lt;&gt;A$3, "Vertical")</f>
        <v>#NAME?</v>
      </c>
      <c r="D24" s="12" t="s">
        <v>74</v>
      </c>
      <c r="E24" s="17" t="s">
        <v>75</v>
      </c>
    </row>
    <row r="25" spans="2:5" ht="60" customHeight="1" x14ac:dyDescent="0.25">
      <c r="B25" s="15" t="s">
        <v>76</v>
      </c>
      <c r="C25" s="16" t="e">
        <f ca="1">rwpagebreak(MOD(ROW(),20)=0, "Horizontal")</f>
        <v>#NAME?</v>
      </c>
      <c r="D25" s="12" t="s">
        <v>77</v>
      </c>
      <c r="E25" s="17" t="s">
        <v>78</v>
      </c>
    </row>
    <row r="40" spans="2:2" x14ac:dyDescent="0.25">
      <c r="B40" s="18" t="s">
        <v>79</v>
      </c>
    </row>
  </sheetData>
  <mergeCells count="6">
    <mergeCell ref="B20:E20"/>
    <mergeCell ref="B1:E1"/>
    <mergeCell ref="B3:E3"/>
    <mergeCell ref="B8:E8"/>
    <mergeCell ref="B14:E14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22" customWidth="1"/>
    <col min="3" max="5" width="14" customWidth="1"/>
    <col min="6" max="7" width="42" customWidth="1"/>
    <col min="8" max="8" width="50" customWidth="1"/>
  </cols>
  <sheetData>
    <row r="1" spans="1:8" ht="27.75" customHeight="1" x14ac:dyDescent="0.25">
      <c r="A1" s="7" t="s">
        <v>80</v>
      </c>
      <c r="B1" s="7"/>
      <c r="C1" s="7"/>
      <c r="D1" s="7"/>
      <c r="E1" s="7"/>
      <c r="F1" s="7"/>
      <c r="G1" s="7"/>
      <c r="H1" s="7"/>
    </row>
    <row r="3" spans="1:8" ht="60" customHeight="1" x14ac:dyDescent="0.25">
      <c r="A3" s="4" t="s">
        <v>81</v>
      </c>
      <c r="B3" s="4"/>
      <c r="C3" s="4"/>
      <c r="D3" s="4"/>
      <c r="E3" s="4"/>
      <c r="F3" s="4"/>
      <c r="G3" s="4"/>
      <c r="H3" s="4"/>
    </row>
    <row r="5" spans="1:8" ht="36" customHeight="1" x14ac:dyDescent="0.25">
      <c r="A5" s="10" t="s">
        <v>82</v>
      </c>
      <c r="B5" s="10" t="s">
        <v>83</v>
      </c>
      <c r="C5" s="10" t="s">
        <v>84</v>
      </c>
      <c r="D5" s="10" t="s">
        <v>85</v>
      </c>
      <c r="E5" s="10" t="s">
        <v>86</v>
      </c>
      <c r="F5" s="10" t="s">
        <v>87</v>
      </c>
      <c r="G5" s="13" t="s">
        <v>88</v>
      </c>
      <c r="H5" s="14" t="s">
        <v>41</v>
      </c>
    </row>
    <row r="6" spans="1:8" ht="25.5" x14ac:dyDescent="0.25">
      <c r="A6" s="19" t="s">
        <v>89</v>
      </c>
      <c r="B6" s="19" t="s">
        <v>90</v>
      </c>
      <c r="C6" s="20">
        <v>12500</v>
      </c>
      <c r="D6" s="20">
        <v>13800</v>
      </c>
      <c r="E6" s="20">
        <v>14200</v>
      </c>
      <c r="F6" s="21" t="s">
        <v>91</v>
      </c>
      <c r="G6" s="22" t="s">
        <v>91</v>
      </c>
      <c r="H6" s="17" t="s">
        <v>92</v>
      </c>
    </row>
    <row r="7" spans="1:8" ht="38.25" x14ac:dyDescent="0.25">
      <c r="A7" s="19" t="s">
        <v>89</v>
      </c>
      <c r="B7" s="19" t="s">
        <v>93</v>
      </c>
      <c r="C7" s="20">
        <v>8900</v>
      </c>
      <c r="D7" s="20">
        <v>9400</v>
      </c>
      <c r="E7" s="20">
        <v>10100</v>
      </c>
      <c r="F7" s="15" t="s">
        <v>94</v>
      </c>
      <c r="G7" s="16" t="e">
        <f t="shared" ref="G7:G17" ca="1" si="0">rwpagebreak(A7&lt;&gt;A6)</f>
        <v>#NAME?</v>
      </c>
      <c r="H7" s="17" t="s">
        <v>95</v>
      </c>
    </row>
    <row r="8" spans="1:8" ht="38.25" x14ac:dyDescent="0.25">
      <c r="A8" s="19" t="s">
        <v>89</v>
      </c>
      <c r="B8" s="19" t="s">
        <v>96</v>
      </c>
      <c r="C8" s="20">
        <v>21000</v>
      </c>
      <c r="D8" s="20">
        <v>22500</v>
      </c>
      <c r="E8" s="20">
        <v>23800</v>
      </c>
      <c r="F8" s="15" t="s">
        <v>97</v>
      </c>
      <c r="G8" s="16" t="e">
        <f t="shared" ca="1" si="0"/>
        <v>#NAME?</v>
      </c>
      <c r="H8" s="17" t="s">
        <v>98</v>
      </c>
    </row>
    <row r="9" spans="1:8" ht="38.25" x14ac:dyDescent="0.25">
      <c r="A9" s="23" t="s">
        <v>99</v>
      </c>
      <c r="B9" s="23" t="s">
        <v>90</v>
      </c>
      <c r="C9" s="24">
        <v>7800</v>
      </c>
      <c r="D9" s="24">
        <v>8200</v>
      </c>
      <c r="E9" s="24">
        <v>8650</v>
      </c>
      <c r="F9" s="25" t="s">
        <v>100</v>
      </c>
      <c r="G9" s="26" t="e">
        <f t="shared" ca="1" si="0"/>
        <v>#NAME?</v>
      </c>
      <c r="H9" s="27" t="s">
        <v>101</v>
      </c>
    </row>
    <row r="10" spans="1:8" ht="38.25" x14ac:dyDescent="0.25">
      <c r="A10" s="19" t="s">
        <v>99</v>
      </c>
      <c r="B10" s="19" t="s">
        <v>93</v>
      </c>
      <c r="C10" s="20">
        <v>5400</v>
      </c>
      <c r="D10" s="20">
        <v>5900</v>
      </c>
      <c r="E10" s="20">
        <v>6100</v>
      </c>
      <c r="F10" s="15" t="s">
        <v>102</v>
      </c>
      <c r="G10" s="16" t="e">
        <f t="shared" ca="1" si="0"/>
        <v>#NAME?</v>
      </c>
      <c r="H10" s="17" t="s">
        <v>103</v>
      </c>
    </row>
    <row r="11" spans="1:8" ht="38.25" x14ac:dyDescent="0.25">
      <c r="A11" s="19" t="s">
        <v>99</v>
      </c>
      <c r="B11" s="19" t="s">
        <v>96</v>
      </c>
      <c r="C11" s="20">
        <v>15600</v>
      </c>
      <c r="D11" s="20">
        <v>16200</v>
      </c>
      <c r="E11" s="20">
        <v>17000</v>
      </c>
      <c r="F11" s="15" t="s">
        <v>104</v>
      </c>
      <c r="G11" s="16" t="e">
        <f t="shared" ca="1" si="0"/>
        <v>#NAME?</v>
      </c>
      <c r="H11" s="17" t="s">
        <v>105</v>
      </c>
    </row>
    <row r="12" spans="1:8" ht="38.25" x14ac:dyDescent="0.25">
      <c r="A12" s="23" t="s">
        <v>106</v>
      </c>
      <c r="B12" s="23" t="s">
        <v>90</v>
      </c>
      <c r="C12" s="24">
        <v>4200</v>
      </c>
      <c r="D12" s="24">
        <v>4650</v>
      </c>
      <c r="E12" s="24">
        <v>5100</v>
      </c>
      <c r="F12" s="25" t="s">
        <v>107</v>
      </c>
      <c r="G12" s="26" t="e">
        <f t="shared" ca="1" si="0"/>
        <v>#NAME?</v>
      </c>
      <c r="H12" s="27" t="s">
        <v>108</v>
      </c>
    </row>
    <row r="13" spans="1:8" ht="38.25" x14ac:dyDescent="0.25">
      <c r="A13" s="19" t="s">
        <v>106</v>
      </c>
      <c r="B13" s="19" t="s">
        <v>93</v>
      </c>
      <c r="C13" s="20">
        <v>3100</v>
      </c>
      <c r="D13" s="20">
        <v>3400</v>
      </c>
      <c r="E13" s="20">
        <v>3650</v>
      </c>
      <c r="F13" s="15" t="s">
        <v>109</v>
      </c>
      <c r="G13" s="16" t="e">
        <f t="shared" ca="1" si="0"/>
        <v>#NAME?</v>
      </c>
      <c r="H13" s="17" t="s">
        <v>110</v>
      </c>
    </row>
    <row r="14" spans="1:8" ht="38.25" x14ac:dyDescent="0.25">
      <c r="A14" s="19" t="s">
        <v>106</v>
      </c>
      <c r="B14" s="19" t="s">
        <v>96</v>
      </c>
      <c r="C14" s="20">
        <v>9800</v>
      </c>
      <c r="D14" s="20">
        <v>10500</v>
      </c>
      <c r="E14" s="20">
        <v>11200</v>
      </c>
      <c r="F14" s="15" t="s">
        <v>111</v>
      </c>
      <c r="G14" s="16" t="e">
        <f t="shared" ca="1" si="0"/>
        <v>#NAME?</v>
      </c>
      <c r="H14" s="17" t="s">
        <v>112</v>
      </c>
    </row>
    <row r="15" spans="1:8" ht="38.25" x14ac:dyDescent="0.25">
      <c r="A15" s="23" t="s">
        <v>113</v>
      </c>
      <c r="B15" s="23" t="s">
        <v>90</v>
      </c>
      <c r="C15" s="24">
        <v>1900</v>
      </c>
      <c r="D15" s="24">
        <v>2100</v>
      </c>
      <c r="E15" s="24">
        <v>2350</v>
      </c>
      <c r="F15" s="25" t="s">
        <v>114</v>
      </c>
      <c r="G15" s="26" t="e">
        <f t="shared" ca="1" si="0"/>
        <v>#NAME?</v>
      </c>
      <c r="H15" s="27" t="s">
        <v>115</v>
      </c>
    </row>
    <row r="16" spans="1:8" ht="38.25" x14ac:dyDescent="0.25">
      <c r="A16" s="19" t="s">
        <v>113</v>
      </c>
      <c r="B16" s="19" t="s">
        <v>93</v>
      </c>
      <c r="C16" s="20">
        <v>1400</v>
      </c>
      <c r="D16" s="20">
        <v>1550</v>
      </c>
      <c r="E16" s="20">
        <v>1700</v>
      </c>
      <c r="F16" s="15" t="s">
        <v>116</v>
      </c>
      <c r="G16" s="16" t="e">
        <f t="shared" ca="1" si="0"/>
        <v>#NAME?</v>
      </c>
      <c r="H16" s="17" t="s">
        <v>117</v>
      </c>
    </row>
    <row r="17" spans="1:8" ht="38.25" x14ac:dyDescent="0.25">
      <c r="A17" s="19" t="s">
        <v>113</v>
      </c>
      <c r="B17" s="19" t="s">
        <v>96</v>
      </c>
      <c r="C17" s="20">
        <v>4200</v>
      </c>
      <c r="D17" s="20">
        <v>4600</v>
      </c>
      <c r="E17" s="20">
        <v>5050</v>
      </c>
      <c r="F17" s="15" t="s">
        <v>118</v>
      </c>
      <c r="G17" s="16" t="e">
        <f t="shared" ca="1" si="0"/>
        <v>#NAME?</v>
      </c>
      <c r="H17" s="17" t="s">
        <v>119</v>
      </c>
    </row>
    <row r="20" spans="1:8" x14ac:dyDescent="0.25">
      <c r="A20" s="28" t="s">
        <v>120</v>
      </c>
    </row>
    <row r="21" spans="1:8" ht="15" customHeight="1" x14ac:dyDescent="0.25">
      <c r="A21" s="29"/>
      <c r="B21" s="3" t="s">
        <v>121</v>
      </c>
      <c r="C21" s="3"/>
      <c r="D21" s="3"/>
      <c r="E21" s="3"/>
      <c r="F21" s="3"/>
      <c r="G21" s="3"/>
      <c r="H21" s="3"/>
    </row>
    <row r="22" spans="1:8" ht="15" customHeight="1" x14ac:dyDescent="0.25">
      <c r="A22" s="30"/>
      <c r="B22" s="3" t="s">
        <v>122</v>
      </c>
      <c r="C22" s="3"/>
      <c r="D22" s="3"/>
      <c r="E22" s="3"/>
      <c r="F22" s="3"/>
      <c r="G22" s="3"/>
      <c r="H22" s="3"/>
    </row>
    <row r="23" spans="1:8" ht="15" customHeight="1" x14ac:dyDescent="0.25">
      <c r="A23" s="31"/>
      <c r="B23" s="3" t="s">
        <v>123</v>
      </c>
      <c r="C23" s="3"/>
      <c r="D23" s="3"/>
      <c r="E23" s="3"/>
      <c r="F23" s="3"/>
      <c r="G23" s="3"/>
      <c r="H23" s="3"/>
    </row>
  </sheetData>
  <mergeCells count="5">
    <mergeCell ref="A1:H1"/>
    <mergeCell ref="A3:H3"/>
    <mergeCell ref="B21:H21"/>
    <mergeCell ref="B22:H22"/>
    <mergeCell ref="B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zoomScaleNormal="100" workbookViewId="0"/>
  </sheetViews>
  <sheetFormatPr defaultColWidth="8.7109375" defaultRowHeight="15" x14ac:dyDescent="0.25"/>
  <cols>
    <col min="1" max="1" width="24" customWidth="1"/>
    <col min="2" max="14" width="13" customWidth="1"/>
  </cols>
  <sheetData>
    <row r="1" spans="1:15" ht="27.75" customHeight="1" x14ac:dyDescent="0.25">
      <c r="A1" s="7" t="s">
        <v>124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15" ht="49.5" customHeight="1" x14ac:dyDescent="0.25">
      <c r="A3" s="4" t="s">
        <v>125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5">
      <c r="A4" s="32" t="s">
        <v>126</v>
      </c>
      <c r="B4" s="33" t="s">
        <v>84</v>
      </c>
      <c r="C4" s="33" t="s">
        <v>84</v>
      </c>
      <c r="D4" s="33" t="s">
        <v>84</v>
      </c>
      <c r="E4" s="33" t="s">
        <v>85</v>
      </c>
      <c r="F4" s="33" t="s">
        <v>85</v>
      </c>
      <c r="G4" s="33" t="s">
        <v>85</v>
      </c>
      <c r="H4" s="33" t="s">
        <v>86</v>
      </c>
      <c r="I4" s="33" t="s">
        <v>86</v>
      </c>
      <c r="J4" s="33" t="s">
        <v>86</v>
      </c>
      <c r="K4" s="33" t="s">
        <v>127</v>
      </c>
      <c r="L4" s="33" t="s">
        <v>127</v>
      </c>
      <c r="M4" s="33" t="s">
        <v>127</v>
      </c>
    </row>
    <row r="5" spans="1:15" ht="37.5" customHeight="1" x14ac:dyDescent="0.25">
      <c r="A5" s="10" t="s">
        <v>128</v>
      </c>
      <c r="B5" s="34" t="s">
        <v>129</v>
      </c>
      <c r="C5" s="35" t="s">
        <v>130</v>
      </c>
      <c r="D5" s="35" t="s">
        <v>131</v>
      </c>
      <c r="E5" s="36" t="s">
        <v>132</v>
      </c>
      <c r="F5" s="35" t="s">
        <v>133</v>
      </c>
      <c r="G5" s="35" t="s">
        <v>134</v>
      </c>
      <c r="H5" s="36" t="s">
        <v>135</v>
      </c>
      <c r="I5" s="35" t="s">
        <v>136</v>
      </c>
      <c r="J5" s="35" t="s">
        <v>137</v>
      </c>
      <c r="K5" s="36" t="s">
        <v>138</v>
      </c>
      <c r="L5" s="35" t="s">
        <v>139</v>
      </c>
      <c r="M5" s="35" t="s">
        <v>140</v>
      </c>
    </row>
    <row r="6" spans="1:15" ht="37.5" customHeight="1" x14ac:dyDescent="0.25">
      <c r="A6" s="13" t="s">
        <v>141</v>
      </c>
      <c r="B6" s="37" t="s">
        <v>129</v>
      </c>
      <c r="C6" s="38" t="e">
        <f t="shared" ref="C6:M6" ca="1" si="0">rwpagebreak(C$4&lt;&gt;B$4, "Vertical")</f>
        <v>#NAME?</v>
      </c>
      <c r="D6" s="38" t="e">
        <f t="shared" ca="1" si="0"/>
        <v>#NAME?</v>
      </c>
      <c r="E6" s="39" t="e">
        <f t="shared" ca="1" si="0"/>
        <v>#NAME?</v>
      </c>
      <c r="F6" s="38" t="e">
        <f t="shared" ca="1" si="0"/>
        <v>#NAME?</v>
      </c>
      <c r="G6" s="38" t="e">
        <f t="shared" ca="1" si="0"/>
        <v>#NAME?</v>
      </c>
      <c r="H6" s="39" t="e">
        <f t="shared" ca="1" si="0"/>
        <v>#NAME?</v>
      </c>
      <c r="I6" s="38" t="e">
        <f t="shared" ca="1" si="0"/>
        <v>#NAME?</v>
      </c>
      <c r="J6" s="38" t="e">
        <f t="shared" ca="1" si="0"/>
        <v>#NAME?</v>
      </c>
      <c r="K6" s="39" t="e">
        <f t="shared" ca="1" si="0"/>
        <v>#NAME?</v>
      </c>
      <c r="L6" s="38" t="e">
        <f t="shared" ca="1" si="0"/>
        <v>#NAME?</v>
      </c>
      <c r="M6" s="38" t="e">
        <f t="shared" ca="1" si="0"/>
        <v>#NAME?</v>
      </c>
    </row>
    <row r="7" spans="1:15" ht="60" customHeight="1" x14ac:dyDescent="0.25">
      <c r="A7" s="14" t="s">
        <v>142</v>
      </c>
      <c r="B7" s="17" t="s">
        <v>143</v>
      </c>
      <c r="C7" s="17" t="s">
        <v>144</v>
      </c>
      <c r="D7" s="17" t="s">
        <v>145</v>
      </c>
      <c r="E7" s="27" t="s">
        <v>146</v>
      </c>
      <c r="F7" s="17" t="s">
        <v>147</v>
      </c>
      <c r="G7" s="17" t="s">
        <v>148</v>
      </c>
      <c r="H7" s="27" t="s">
        <v>149</v>
      </c>
      <c r="I7" s="17" t="s">
        <v>150</v>
      </c>
      <c r="J7" s="17" t="s">
        <v>151</v>
      </c>
      <c r="K7" s="27" t="s">
        <v>152</v>
      </c>
      <c r="L7" s="17" t="s">
        <v>153</v>
      </c>
      <c r="M7" s="17" t="s">
        <v>154</v>
      </c>
    </row>
    <row r="8" spans="1:15" x14ac:dyDescent="0.25">
      <c r="A8" s="32" t="s">
        <v>155</v>
      </c>
      <c r="B8" s="40" t="s">
        <v>156</v>
      </c>
      <c r="C8" s="40" t="s">
        <v>157</v>
      </c>
      <c r="D8" s="40" t="s">
        <v>158</v>
      </c>
      <c r="E8" s="40" t="s">
        <v>159</v>
      </c>
      <c r="F8" s="40" t="s">
        <v>160</v>
      </c>
      <c r="G8" s="40" t="s">
        <v>161</v>
      </c>
      <c r="H8" s="40" t="s">
        <v>162</v>
      </c>
      <c r="I8" s="40" t="s">
        <v>163</v>
      </c>
      <c r="J8" s="40" t="s">
        <v>164</v>
      </c>
      <c r="K8" s="40" t="s">
        <v>165</v>
      </c>
      <c r="L8" s="40" t="s">
        <v>166</v>
      </c>
      <c r="M8" s="40" t="s">
        <v>167</v>
      </c>
    </row>
    <row r="9" spans="1:15" x14ac:dyDescent="0.25">
      <c r="A9" s="19" t="s">
        <v>168</v>
      </c>
      <c r="B9" s="41">
        <v>120</v>
      </c>
      <c r="C9" s="41">
        <v>132</v>
      </c>
      <c r="D9" s="41">
        <v>145</v>
      </c>
      <c r="E9" s="41">
        <v>158</v>
      </c>
      <c r="F9" s="41">
        <v>162</v>
      </c>
      <c r="G9" s="41">
        <v>175</v>
      </c>
      <c r="H9" s="41">
        <v>188</v>
      </c>
      <c r="I9" s="41">
        <v>192</v>
      </c>
      <c r="J9" s="41">
        <v>205</v>
      </c>
      <c r="K9" s="41">
        <v>215</v>
      </c>
      <c r="L9" s="41">
        <v>225</v>
      </c>
      <c r="M9" s="41">
        <v>248</v>
      </c>
    </row>
    <row r="10" spans="1:15" x14ac:dyDescent="0.25">
      <c r="A10" s="19" t="s">
        <v>169</v>
      </c>
      <c r="B10" s="41">
        <v>48</v>
      </c>
      <c r="C10" s="41">
        <v>53</v>
      </c>
      <c r="D10" s="41">
        <v>58</v>
      </c>
      <c r="E10" s="41">
        <v>63</v>
      </c>
      <c r="F10" s="41">
        <v>65</v>
      </c>
      <c r="G10" s="41">
        <v>70</v>
      </c>
      <c r="H10" s="41">
        <v>75</v>
      </c>
      <c r="I10" s="41">
        <v>77</v>
      </c>
      <c r="J10" s="41">
        <v>82</v>
      </c>
      <c r="K10" s="41">
        <v>86</v>
      </c>
      <c r="L10" s="41">
        <v>90</v>
      </c>
      <c r="M10" s="41">
        <v>99</v>
      </c>
    </row>
    <row r="11" spans="1:15" x14ac:dyDescent="0.25">
      <c r="A11" s="42" t="s">
        <v>170</v>
      </c>
      <c r="B11" s="43">
        <f t="shared" ref="B11:M11" si="1">B9-B10</f>
        <v>72</v>
      </c>
      <c r="C11" s="43">
        <f t="shared" si="1"/>
        <v>79</v>
      </c>
      <c r="D11" s="43">
        <f t="shared" si="1"/>
        <v>87</v>
      </c>
      <c r="E11" s="43">
        <f t="shared" si="1"/>
        <v>95</v>
      </c>
      <c r="F11" s="43">
        <f t="shared" si="1"/>
        <v>97</v>
      </c>
      <c r="G11" s="43">
        <f t="shared" si="1"/>
        <v>105</v>
      </c>
      <c r="H11" s="43">
        <f t="shared" si="1"/>
        <v>113</v>
      </c>
      <c r="I11" s="43">
        <f t="shared" si="1"/>
        <v>115</v>
      </c>
      <c r="J11" s="43">
        <f t="shared" si="1"/>
        <v>123</v>
      </c>
      <c r="K11" s="43">
        <f t="shared" si="1"/>
        <v>129</v>
      </c>
      <c r="L11" s="43">
        <f t="shared" si="1"/>
        <v>135</v>
      </c>
      <c r="M11" s="43">
        <f t="shared" si="1"/>
        <v>149</v>
      </c>
    </row>
    <row r="12" spans="1:15" x14ac:dyDescent="0.25">
      <c r="A12" s="19" t="s">
        <v>171</v>
      </c>
      <c r="B12" s="41">
        <v>35</v>
      </c>
      <c r="C12" s="41">
        <v>37</v>
      </c>
      <c r="D12" s="41">
        <v>39</v>
      </c>
      <c r="E12" s="41">
        <v>42</v>
      </c>
      <c r="F12" s="41">
        <v>43</v>
      </c>
      <c r="G12" s="41">
        <v>45</v>
      </c>
      <c r="H12" s="41">
        <v>47</v>
      </c>
      <c r="I12" s="41">
        <v>48</v>
      </c>
      <c r="J12" s="41">
        <v>50</v>
      </c>
      <c r="K12" s="41">
        <v>52</v>
      </c>
      <c r="L12" s="41">
        <v>54</v>
      </c>
      <c r="M12" s="41">
        <v>58</v>
      </c>
    </row>
    <row r="13" spans="1:15" x14ac:dyDescent="0.25">
      <c r="A13" s="42" t="s">
        <v>172</v>
      </c>
      <c r="B13" s="43">
        <f t="shared" ref="B13:M13" si="2">B11-B12</f>
        <v>37</v>
      </c>
      <c r="C13" s="43">
        <f t="shared" si="2"/>
        <v>42</v>
      </c>
      <c r="D13" s="43">
        <f t="shared" si="2"/>
        <v>48</v>
      </c>
      <c r="E13" s="43">
        <f t="shared" si="2"/>
        <v>53</v>
      </c>
      <c r="F13" s="43">
        <f t="shared" si="2"/>
        <v>54</v>
      </c>
      <c r="G13" s="43">
        <f t="shared" si="2"/>
        <v>60</v>
      </c>
      <c r="H13" s="43">
        <f t="shared" si="2"/>
        <v>66</v>
      </c>
      <c r="I13" s="43">
        <f t="shared" si="2"/>
        <v>67</v>
      </c>
      <c r="J13" s="43">
        <f t="shared" si="2"/>
        <v>73</v>
      </c>
      <c r="K13" s="43">
        <f t="shared" si="2"/>
        <v>77</v>
      </c>
      <c r="L13" s="43">
        <f t="shared" si="2"/>
        <v>81</v>
      </c>
      <c r="M13" s="43">
        <f t="shared" si="2"/>
        <v>91</v>
      </c>
    </row>
    <row r="16" spans="1:15" x14ac:dyDescent="0.25">
      <c r="A16" s="28" t="s">
        <v>120</v>
      </c>
    </row>
    <row r="17" spans="1:10" ht="15" customHeight="1" x14ac:dyDescent="0.25">
      <c r="A17" s="29"/>
      <c r="B17" s="3" t="s">
        <v>173</v>
      </c>
      <c r="C17" s="3"/>
      <c r="D17" s="3"/>
      <c r="E17" s="3"/>
      <c r="F17" s="3"/>
      <c r="G17" s="3"/>
      <c r="H17" s="3"/>
      <c r="I17" s="3"/>
      <c r="J17" s="3"/>
    </row>
    <row r="18" spans="1:10" ht="15" customHeight="1" x14ac:dyDescent="0.25">
      <c r="A18" s="30"/>
      <c r="B18" s="3" t="s">
        <v>174</v>
      </c>
      <c r="C18" s="3"/>
      <c r="D18" s="3"/>
      <c r="E18" s="3"/>
      <c r="F18" s="3"/>
      <c r="G18" s="3"/>
      <c r="H18" s="3"/>
      <c r="I18" s="3"/>
      <c r="J18" s="3"/>
    </row>
    <row r="19" spans="1:10" ht="15" customHeight="1" x14ac:dyDescent="0.25">
      <c r="A19" s="31"/>
      <c r="B19" s="3" t="s">
        <v>123</v>
      </c>
      <c r="C19" s="3"/>
      <c r="D19" s="3"/>
      <c r="E19" s="3"/>
      <c r="F19" s="3"/>
      <c r="G19" s="3"/>
      <c r="H19" s="3"/>
      <c r="I19" s="3"/>
      <c r="J19" s="3"/>
    </row>
  </sheetData>
  <mergeCells count="5">
    <mergeCell ref="A1:O1"/>
    <mergeCell ref="A3:O3"/>
    <mergeCell ref="B17:J17"/>
    <mergeCell ref="B18:J18"/>
    <mergeCell ref="B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21"/>
  <sheetViews>
    <sheetView zoomScaleNormal="100" workbookViewId="0"/>
  </sheetViews>
  <sheetFormatPr defaultColWidth="8.7109375" defaultRowHeight="15" x14ac:dyDescent="0.25"/>
  <cols>
    <col min="1" max="1" width="5" customWidth="1"/>
    <col min="2" max="3" width="42" customWidth="1"/>
    <col min="4" max="4" width="50" customWidth="1"/>
    <col min="5" max="5" width="45" customWidth="1"/>
  </cols>
  <sheetData>
    <row r="1" spans="2:5" ht="27.75" customHeight="1" x14ac:dyDescent="0.25">
      <c r="B1" s="7" t="s">
        <v>175</v>
      </c>
      <c r="C1" s="7"/>
      <c r="D1" s="7"/>
      <c r="E1" s="7"/>
    </row>
    <row r="3" spans="2:5" ht="37.5" customHeight="1" x14ac:dyDescent="0.25">
      <c r="B3" s="4" t="s">
        <v>176</v>
      </c>
      <c r="C3" s="4"/>
      <c r="D3" s="4"/>
      <c r="E3" s="4"/>
    </row>
    <row r="5" spans="2:5" ht="21.75" customHeight="1" x14ac:dyDescent="0.25">
      <c r="B5" s="6" t="s">
        <v>177</v>
      </c>
      <c r="C5" s="6"/>
      <c r="D5" s="6"/>
      <c r="E5" s="6"/>
    </row>
    <row r="6" spans="2:5" ht="31.5" customHeight="1" x14ac:dyDescent="0.25">
      <c r="B6" s="10" t="s">
        <v>38</v>
      </c>
      <c r="C6" s="13" t="s">
        <v>39</v>
      </c>
      <c r="D6" s="10" t="s">
        <v>40</v>
      </c>
      <c r="E6" s="14" t="s">
        <v>41</v>
      </c>
    </row>
    <row r="7" spans="2:5" ht="49.5" customHeight="1" x14ac:dyDescent="0.25">
      <c r="B7" s="15" t="s">
        <v>178</v>
      </c>
      <c r="C7" s="16" t="e">
        <f ca="1">rwpagebreak(TRUE(), TRUE(), FALSE())</f>
        <v>#NAME?</v>
      </c>
      <c r="D7" s="12" t="s">
        <v>179</v>
      </c>
      <c r="E7" s="17" t="s">
        <v>180</v>
      </c>
    </row>
    <row r="8" spans="2:5" ht="49.5" customHeight="1" x14ac:dyDescent="0.25">
      <c r="B8" s="15" t="s">
        <v>181</v>
      </c>
      <c r="C8" s="16" t="e">
        <f ca="1">rwpagebreak(TRUE(), "Horizontal", "After")</f>
        <v>#NAME?</v>
      </c>
      <c r="D8" s="12" t="s">
        <v>182</v>
      </c>
      <c r="E8" s="17" t="s">
        <v>183</v>
      </c>
    </row>
    <row r="9" spans="2:5" ht="49.5" customHeight="1" x14ac:dyDescent="0.25">
      <c r="B9" s="15" t="s">
        <v>184</v>
      </c>
      <c r="C9" s="16" t="e">
        <f ca="1">rwpagebreak(TRUE(), TRUE(), "After")</f>
        <v>#NAME?</v>
      </c>
      <c r="D9" s="12" t="s">
        <v>185</v>
      </c>
      <c r="E9" s="17" t="s">
        <v>186</v>
      </c>
    </row>
    <row r="11" spans="2:5" ht="21.75" customHeight="1" x14ac:dyDescent="0.25">
      <c r="B11" s="6" t="s">
        <v>187</v>
      </c>
      <c r="C11" s="6"/>
      <c r="D11" s="6"/>
      <c r="E11" s="6"/>
    </row>
    <row r="12" spans="2:5" ht="31.5" customHeight="1" x14ac:dyDescent="0.25">
      <c r="B12" s="10" t="s">
        <v>38</v>
      </c>
      <c r="C12" s="13" t="s">
        <v>39</v>
      </c>
      <c r="D12" s="10" t="s">
        <v>40</v>
      </c>
      <c r="E12" s="14" t="s">
        <v>41</v>
      </c>
    </row>
    <row r="13" spans="2:5" ht="49.5" customHeight="1" x14ac:dyDescent="0.25">
      <c r="B13" s="15" t="s">
        <v>188</v>
      </c>
      <c r="C13" s="16" t="e">
        <f ca="1">rwpagebreak(TRUE(), FALSE(), FALSE())</f>
        <v>#NAME?</v>
      </c>
      <c r="D13" s="12" t="s">
        <v>189</v>
      </c>
      <c r="E13" s="17" t="s">
        <v>190</v>
      </c>
    </row>
    <row r="14" spans="2:5" ht="49.5" customHeight="1" x14ac:dyDescent="0.25">
      <c r="B14" s="15" t="s">
        <v>191</v>
      </c>
      <c r="C14" s="16" t="e">
        <f ca="1">rwpagebreak(TRUE(), "Vertical", "After")</f>
        <v>#NAME?</v>
      </c>
      <c r="D14" s="12" t="s">
        <v>192</v>
      </c>
      <c r="E14" s="17" t="s">
        <v>193</v>
      </c>
    </row>
    <row r="15" spans="2:5" ht="49.5" customHeight="1" x14ac:dyDescent="0.25">
      <c r="B15" s="15" t="s">
        <v>194</v>
      </c>
      <c r="C15" s="16" t="e">
        <f ca="1">rwpagebreak(TRUE(), FALSE(), "After")</f>
        <v>#NAME?</v>
      </c>
      <c r="D15" s="12" t="s">
        <v>195</v>
      </c>
      <c r="E15" s="17" t="s">
        <v>196</v>
      </c>
    </row>
    <row r="17" spans="2:5" ht="21.75" customHeight="1" x14ac:dyDescent="0.25">
      <c r="B17" s="6" t="s">
        <v>197</v>
      </c>
      <c r="C17" s="6"/>
      <c r="D17" s="6"/>
      <c r="E17" s="6"/>
    </row>
    <row r="18" spans="2:5" ht="27.75" customHeight="1" x14ac:dyDescent="0.25">
      <c r="B18" s="10" t="s">
        <v>198</v>
      </c>
      <c r="C18" s="2" t="s">
        <v>199</v>
      </c>
      <c r="D18" s="2"/>
      <c r="E18" s="2"/>
    </row>
    <row r="19" spans="2:5" ht="55.5" customHeight="1" x14ac:dyDescent="0.25">
      <c r="B19" s="44" t="s">
        <v>200</v>
      </c>
      <c r="C19" s="1" t="s">
        <v>201</v>
      </c>
      <c r="D19" s="1"/>
      <c r="E19" s="1"/>
    </row>
    <row r="20" spans="2:5" ht="55.5" customHeight="1" x14ac:dyDescent="0.25">
      <c r="B20" s="44" t="s">
        <v>202</v>
      </c>
      <c r="C20" s="1" t="s">
        <v>203</v>
      </c>
      <c r="D20" s="1"/>
      <c r="E20" s="1"/>
    </row>
    <row r="21" spans="2:5" ht="55.5" customHeight="1" x14ac:dyDescent="0.25">
      <c r="B21" s="44" t="s">
        <v>204</v>
      </c>
      <c r="C21" s="1" t="s">
        <v>205</v>
      </c>
      <c r="D21" s="1"/>
      <c r="E21" s="1"/>
    </row>
  </sheetData>
  <mergeCells count="9">
    <mergeCell ref="C18:E18"/>
    <mergeCell ref="C19:E19"/>
    <mergeCell ref="C20:E20"/>
    <mergeCell ref="C21:E21"/>
    <mergeCell ref="B1:E1"/>
    <mergeCell ref="B3:E3"/>
    <mergeCell ref="B5:E5"/>
    <mergeCell ref="B11:E11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0"/>
  <sheetViews>
    <sheetView zoomScaleNormal="100" workbookViewId="0"/>
  </sheetViews>
  <sheetFormatPr defaultColWidth="8.7109375" defaultRowHeight="15" x14ac:dyDescent="0.25"/>
  <cols>
    <col min="1" max="1" width="5" customWidth="1"/>
    <col min="2" max="2" width="32" customWidth="1"/>
    <col min="3" max="6" width="45" customWidth="1"/>
  </cols>
  <sheetData>
    <row r="1" spans="2:6" ht="27.75" customHeight="1" x14ac:dyDescent="0.25">
      <c r="B1" s="7" t="s">
        <v>206</v>
      </c>
      <c r="C1" s="7"/>
      <c r="D1" s="7"/>
      <c r="E1" s="7"/>
      <c r="F1" s="7"/>
    </row>
    <row r="3" spans="2:6" ht="49.5" customHeight="1" x14ac:dyDescent="0.25">
      <c r="B3" s="4" t="s">
        <v>207</v>
      </c>
      <c r="C3" s="4"/>
      <c r="D3" s="4"/>
      <c r="E3" s="4"/>
      <c r="F3" s="4"/>
    </row>
    <row r="5" spans="2:6" ht="36" customHeight="1" x14ac:dyDescent="0.25">
      <c r="B5" s="10" t="s">
        <v>208</v>
      </c>
      <c r="C5" s="10" t="s">
        <v>38</v>
      </c>
      <c r="D5" s="13" t="s">
        <v>39</v>
      </c>
      <c r="E5" s="10" t="s">
        <v>209</v>
      </c>
      <c r="F5" s="14" t="s">
        <v>41</v>
      </c>
    </row>
    <row r="6" spans="2:6" ht="69.75" customHeight="1" x14ac:dyDescent="0.25">
      <c r="B6" s="44" t="s">
        <v>210</v>
      </c>
      <c r="C6" s="15" t="s">
        <v>67</v>
      </c>
      <c r="D6" s="16" t="e">
        <f ca="1">rwpagebreak(A6&lt;&gt;A5, "Horizontal")</f>
        <v>#NAME?</v>
      </c>
      <c r="E6" s="12" t="s">
        <v>211</v>
      </c>
      <c r="F6" s="17" t="s">
        <v>212</v>
      </c>
    </row>
    <row r="7" spans="2:6" ht="69.75" customHeight="1" x14ac:dyDescent="0.25">
      <c r="B7" s="44" t="s">
        <v>213</v>
      </c>
      <c r="C7" s="15" t="s">
        <v>70</v>
      </c>
      <c r="D7" s="16" t="e">
        <f ca="1">rwpagebreak(FIND("Summary", $B40)=1, "Horizontal")</f>
        <v>#NAME?</v>
      </c>
      <c r="E7" s="12" t="s">
        <v>214</v>
      </c>
      <c r="F7" s="17" t="s">
        <v>215</v>
      </c>
    </row>
    <row r="8" spans="2:6" ht="69.75" customHeight="1" x14ac:dyDescent="0.25">
      <c r="B8" s="44" t="s">
        <v>216</v>
      </c>
      <c r="C8" s="15" t="s">
        <v>217</v>
      </c>
      <c r="D8" s="16" t="e">
        <f ca="1">rwpagebreak(AND(A6&lt;&gt;A5, A6&lt;&gt;""), "Horizontal")</f>
        <v>#NAME?</v>
      </c>
      <c r="E8" s="12" t="s">
        <v>218</v>
      </c>
      <c r="F8" s="17" t="s">
        <v>219</v>
      </c>
    </row>
    <row r="9" spans="2:6" ht="69.75" customHeight="1" x14ac:dyDescent="0.25">
      <c r="B9" s="44" t="s">
        <v>220</v>
      </c>
      <c r="C9" s="15" t="s">
        <v>221</v>
      </c>
      <c r="D9" s="16" t="e">
        <f ca="1">rwpagebreak(AND(ROW()&gt;6, A6&lt;&gt;A5), "Horizontal")</f>
        <v>#NAME?</v>
      </c>
      <c r="E9" s="12" t="s">
        <v>222</v>
      </c>
      <c r="F9" s="17" t="s">
        <v>223</v>
      </c>
    </row>
    <row r="10" spans="2:6" ht="69.75" customHeight="1" x14ac:dyDescent="0.25">
      <c r="B10" s="44" t="s">
        <v>224</v>
      </c>
      <c r="C10" s="15" t="s">
        <v>225</v>
      </c>
      <c r="D10" s="16" t="e">
        <f ca="1">rwpagebreak(OR(A6&lt;&gt;A5, B6&lt;&gt;B5), "Horizontal")</f>
        <v>#NAME?</v>
      </c>
      <c r="E10" s="12" t="s">
        <v>226</v>
      </c>
      <c r="F10" s="17" t="s">
        <v>227</v>
      </c>
    </row>
    <row r="11" spans="2:6" ht="69.75" customHeight="1" x14ac:dyDescent="0.25">
      <c r="B11" s="44" t="s">
        <v>228</v>
      </c>
      <c r="C11" s="15" t="s">
        <v>229</v>
      </c>
      <c r="D11" s="16" t="e">
        <f ca="1">rwpagebreak(AND(A6&lt;&gt;A5, LEFT(B6,5)&lt;&gt;"Total"), "Horizontal")</f>
        <v>#NAME?</v>
      </c>
      <c r="E11" s="12" t="s">
        <v>230</v>
      </c>
      <c r="F11" s="17" t="s">
        <v>231</v>
      </c>
    </row>
    <row r="12" spans="2:6" ht="69.75" customHeight="1" x14ac:dyDescent="0.25">
      <c r="B12" s="44" t="s">
        <v>232</v>
      </c>
      <c r="C12" s="15" t="s">
        <v>233</v>
      </c>
      <c r="D12" s="16" t="e">
        <f ca="1">rwpagebreak(MOD(ROW()-6, 25)=0, "Horizontal")</f>
        <v>#NAME?</v>
      </c>
      <c r="E12" s="12" t="s">
        <v>234</v>
      </c>
      <c r="F12" s="17" t="s">
        <v>235</v>
      </c>
    </row>
    <row r="13" spans="2:6" ht="69.75" customHeight="1" x14ac:dyDescent="0.25">
      <c r="B13" s="44" t="s">
        <v>236</v>
      </c>
      <c r="C13" s="15" t="s">
        <v>130</v>
      </c>
      <c r="D13" s="16" t="e">
        <f ca="1">rwpagebreak(C$4&lt;&gt;B$4, "Vertical")</f>
        <v>#NAME?</v>
      </c>
      <c r="E13" s="12" t="s">
        <v>237</v>
      </c>
      <c r="F13" s="17" t="s">
        <v>238</v>
      </c>
    </row>
    <row r="14" spans="2:6" ht="69.75" customHeight="1" x14ac:dyDescent="0.25">
      <c r="B14" s="44" t="s">
        <v>239</v>
      </c>
      <c r="C14" s="15" t="s">
        <v>240</v>
      </c>
      <c r="D14" s="16" t="e">
        <f ca="1">rwpagebreak(SUM($C$6:C6)&gt;100000, "Vertical")</f>
        <v>#NAME?</v>
      </c>
      <c r="E14" s="12" t="s">
        <v>241</v>
      </c>
      <c r="F14" s="17" t="s">
        <v>242</v>
      </c>
    </row>
    <row r="15" spans="2:6" ht="69.75" customHeight="1" x14ac:dyDescent="0.25">
      <c r="B15" s="44" t="s">
        <v>243</v>
      </c>
      <c r="C15" s="15" t="s">
        <v>244</v>
      </c>
      <c r="D15" s="16" t="e">
        <f ca="1">rwpagebreak(LEFT(B6,5)="Total", "Horizontal", "After")</f>
        <v>#NAME?</v>
      </c>
      <c r="E15" s="12" t="s">
        <v>245</v>
      </c>
      <c r="F15" s="17" t="s">
        <v>246</v>
      </c>
    </row>
    <row r="40" spans="2:2" ht="25.5" x14ac:dyDescent="0.25">
      <c r="B40" s="18" t="s">
        <v>79</v>
      </c>
    </row>
  </sheetData>
  <mergeCells count="2">
    <mergeCell ref="B1:F1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14"/>
  <sheetViews>
    <sheetView zoomScaleNormal="100" workbookViewId="0"/>
  </sheetViews>
  <sheetFormatPr defaultColWidth="8.7109375" defaultRowHeight="15" x14ac:dyDescent="0.25"/>
  <cols>
    <col min="1" max="1" width="5" customWidth="1"/>
    <col min="2" max="2" width="35" customWidth="1"/>
    <col min="3" max="4" width="50" customWidth="1"/>
  </cols>
  <sheetData>
    <row r="1" spans="2:4" ht="27.75" customHeight="1" x14ac:dyDescent="0.25">
      <c r="B1" s="7" t="s">
        <v>247</v>
      </c>
      <c r="C1" s="7"/>
      <c r="D1" s="7"/>
    </row>
    <row r="3" spans="2:4" ht="31.5" customHeight="1" x14ac:dyDescent="0.25">
      <c r="B3" s="4" t="s">
        <v>248</v>
      </c>
      <c r="C3" s="4"/>
      <c r="D3" s="4"/>
    </row>
    <row r="5" spans="2:4" ht="31.5" customHeight="1" x14ac:dyDescent="0.25">
      <c r="B5" s="10" t="s">
        <v>249</v>
      </c>
      <c r="C5" s="10" t="s">
        <v>250</v>
      </c>
      <c r="D5" s="10" t="s">
        <v>251</v>
      </c>
    </row>
    <row r="6" spans="2:4" ht="69.75" customHeight="1" x14ac:dyDescent="0.25">
      <c r="B6" s="45" t="s">
        <v>252</v>
      </c>
      <c r="C6" s="46" t="s">
        <v>253</v>
      </c>
      <c r="D6" s="46" t="s">
        <v>254</v>
      </c>
    </row>
    <row r="7" spans="2:4" ht="69.75" customHeight="1" x14ac:dyDescent="0.25">
      <c r="B7" s="47" t="s">
        <v>255</v>
      </c>
      <c r="C7" s="48" t="s">
        <v>256</v>
      </c>
      <c r="D7" s="48" t="s">
        <v>257</v>
      </c>
    </row>
    <row r="8" spans="2:4" ht="69.75" customHeight="1" x14ac:dyDescent="0.25">
      <c r="B8" s="47" t="s">
        <v>258</v>
      </c>
      <c r="C8" s="48" t="s">
        <v>259</v>
      </c>
      <c r="D8" s="48" t="s">
        <v>260</v>
      </c>
    </row>
    <row r="9" spans="2:4" ht="69.75" customHeight="1" x14ac:dyDescent="0.25">
      <c r="B9" s="47" t="s">
        <v>261</v>
      </c>
      <c r="C9" s="48" t="s">
        <v>262</v>
      </c>
      <c r="D9" s="48" t="s">
        <v>263</v>
      </c>
    </row>
    <row r="10" spans="2:4" ht="69.75" customHeight="1" x14ac:dyDescent="0.25">
      <c r="B10" s="47" t="s">
        <v>264</v>
      </c>
      <c r="C10" s="48" t="s">
        <v>265</v>
      </c>
      <c r="D10" s="48" t="s">
        <v>266</v>
      </c>
    </row>
    <row r="11" spans="2:4" ht="69.75" customHeight="1" x14ac:dyDescent="0.25">
      <c r="B11" s="47" t="s">
        <v>267</v>
      </c>
      <c r="C11" s="48" t="s">
        <v>268</v>
      </c>
      <c r="D11" s="48" t="s">
        <v>269</v>
      </c>
    </row>
    <row r="12" spans="2:4" ht="69.75" customHeight="1" x14ac:dyDescent="0.25">
      <c r="B12" s="47" t="s">
        <v>270</v>
      </c>
      <c r="C12" s="48" t="s">
        <v>271</v>
      </c>
      <c r="D12" s="48" t="s">
        <v>272</v>
      </c>
    </row>
    <row r="13" spans="2:4" ht="69.75" customHeight="1" x14ac:dyDescent="0.25">
      <c r="B13" s="47" t="s">
        <v>273</v>
      </c>
      <c r="C13" s="48" t="s">
        <v>274</v>
      </c>
      <c r="D13" s="48" t="s">
        <v>275</v>
      </c>
    </row>
    <row r="14" spans="2:4" ht="69.75" customHeight="1" x14ac:dyDescent="0.25">
      <c r="B14" s="47" t="s">
        <v>276</v>
      </c>
      <c r="C14" s="48" t="s">
        <v>277</v>
      </c>
      <c r="D14" s="48" t="s">
        <v>278</v>
      </c>
    </row>
  </sheetData>
  <mergeCells count="2">
    <mergeCell ref="B1:D1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8d35d79e-144a-4cd6-8df1-5d70d87aae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1. Basic Syntax</vt:lpstr>
      <vt:lpstr>2. Horizontal Break</vt:lpstr>
      <vt:lpstr>3. Vertical Break</vt:lpstr>
      <vt:lpstr>4. Position Parameter</vt:lpstr>
      <vt:lpstr>5. Conditional Logic</vt:lpstr>
      <vt:lpstr>6. Common Mistakes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Karen Hewitt</cp:lastModifiedBy>
  <cp:revision>0</cp:revision>
  <dcterms:created xsi:type="dcterms:W3CDTF">2026-04-28T16:51:31Z</dcterms:created>
  <dcterms:modified xsi:type="dcterms:W3CDTF">2026-04-28T16:59:16Z</dcterms:modified>
  <dc:language>en-US</dc:language>
</cp:coreProperties>
</file>