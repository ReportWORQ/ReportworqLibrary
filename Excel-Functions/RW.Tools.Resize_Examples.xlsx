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Data\RW Systems\RWDemo\Reports\"/>
    </mc:Choice>
  </mc:AlternateContent>
  <xr:revisionPtr revIDLastSave="0" documentId="8_{12D948AC-2881-4B7A-98C5-1C273B8D9100}" xr6:coauthVersionLast="47" xr6:coauthVersionMax="47" xr10:uidLastSave="{00000000-0000-0000-0000-000000000000}"/>
  <bookViews>
    <workbookView xWindow="-28920" yWindow="-120" windowWidth="29040" windowHeight="15720" tabRatio="500" xr2:uid="{00000000-000D-0000-FFFF-FFFF00000000}"/>
  </bookViews>
  <sheets>
    <sheet name="README" sheetId="1" r:id="rId1"/>
    <sheet name="1. Basic Syntax" sheetId="2" r:id="rId2"/>
    <sheet name="2. Row Auto-Fit" sheetId="3" r:id="rId3"/>
    <sheet name="3. Column Auto-Fit" sheetId="4" r:id="rId4"/>
    <sheet name="4. With Padding" sheetId="5" r:id="rId5"/>
    <sheet name="5. Common Patterns" sheetId="6" r:id="rId6"/>
    <sheet name="6. Common Mistakes" sheetId="7" r:id="rId7"/>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3" i="6" l="1"/>
  <c r="D12" i="6"/>
  <c r="D11" i="6"/>
  <c r="D10" i="6"/>
  <c r="D9" i="6"/>
  <c r="D8" i="6"/>
  <c r="D7" i="6"/>
  <c r="D6" i="6"/>
  <c r="C12" i="5"/>
  <c r="C11" i="5"/>
  <c r="C10" i="5"/>
  <c r="C9" i="5"/>
  <c r="C8" i="5"/>
  <c r="C7" i="5"/>
  <c r="E6" i="4"/>
  <c r="D6" i="4"/>
  <c r="C6" i="4"/>
  <c r="B6" i="4"/>
  <c r="E10" i="3"/>
  <c r="E9" i="3"/>
  <c r="E8" i="3"/>
  <c r="E7" i="3"/>
  <c r="E6" i="3"/>
  <c r="C20" i="2"/>
  <c r="C19" i="2"/>
  <c r="C18" i="2"/>
  <c r="C17" i="2"/>
  <c r="C12" i="2"/>
  <c r="C11" i="2"/>
  <c r="C7" i="2"/>
  <c r="C6" i="2"/>
  <c r="C5" i="2"/>
</calcChain>
</file>

<file path=xl/sharedStrings.xml><?xml version="1.0" encoding="utf-8"?>
<sst xmlns="http://schemas.openxmlformats.org/spreadsheetml/2006/main" count="270" uniqueCount="228">
  <si>
    <t>RWRESIZE — Reportworq Excel Function Reference &amp; Examples</t>
  </si>
  <si>
    <t>Function</t>
  </si>
  <si>
    <t>RWRESIZE( [Axis], [Pad] )</t>
  </si>
  <si>
    <t>Purpose</t>
  </si>
  <si>
    <t>Automatically resizes the ROW HEIGHT or COLUMN WIDTH of the cell it is placed in, at report generation time. Works like Excel's AutoFit, applied dynamically when Reportworq processes the file — so dynamic, post-populated content fits properly.</t>
  </si>
  <si>
    <t>Axis</t>
  </si>
  <si>
    <t>Optional. TRUE or "rows" auto-fits row heights. FALSE or "columns" auto-fits column widths. Default: TRUE / "rows".</t>
  </si>
  <si>
    <t>Pad</t>
  </si>
  <si>
    <t>Optional. Additional height (for rows) or width (for columns) to add to the autofit algorithm. Useful for adding breathing room around content.</t>
  </si>
  <si>
    <t>Merged cells</t>
  </si>
  <si>
    <t>Fully supported. If RWRESIZE is placed in a merged cell, the resize operation is performed on the entire group of rows or columns in the cell's range, and the height or width is distributed equally.</t>
  </si>
  <si>
    <t>Hidden rows/cols</t>
  </si>
  <si>
    <t>RWRESIZE will NOT operate on hidden rows or columns. This prevents accidentally unhiding rows/columns or applying sizing to rows that won't be visible.</t>
  </si>
  <si>
    <t>Typical uses</t>
  </si>
  <si>
    <t xml:space="preserve">  • Helper column alongside rows containing dynamic, potentially multi-line text (comments, descriptions, AI-generated narrative). RWRESIZE expands the row to fit.
  • Resize numeric columns to avoid the ##### display when a value is wider than the current column width.</t>
  </si>
  <si>
    <t>Scope</t>
  </si>
  <si>
    <t>Provider-agnostic. Works with any Reportworq datasource (IBM Planning Analytics, Anaplan, Workday Adaptive, SQL, Pigment, Oracle EPM, etc.).</t>
  </si>
  <si>
    <t>Reference</t>
  </si>
  <si>
    <t>https://docs.reportworq.com/docs/excel-functions-general/#rwresize</t>
  </si>
  <si>
    <t>How to read this workbook</t>
  </si>
  <si>
    <t>Every example formula appears in FOUR columns:
  1.  "Formula (display)"  — blue, italic. Stored as TEXT so the syntax is readable on screen.
  2.  "Formula (live)"     — green tint. Stored as a real formula. Excel shows #NAME? (expected — RWRESIZE isn't native), but Reportworq evaluates it at runtime.
  3.  "What it does"       — generic description of the formula behavior.
  4.  "Expected outcome"   — amber tint. Specific to THIS workbook: what should happen at this exact cell when Reportworq processes the file.
Layout note for sheets 2 and 3: RWRESIZE autofits the entire ROW (or COLUMN) — it sizes to whichever cell needs the most space, not just the data cell you're trying to demo. So on the Row Auto-Fit and Column Auto-Fit sheets, the Expected Outcome text is kept in a REFERENCE TABLE BELOW the data — not in a column on the same row (or row on the same column). Otherwise the long outcome text would dominate the autofit and you'd lose the visual variation that makes the demo work.</t>
  </si>
  <si>
    <t>Worksheets in this workbook</t>
  </si>
  <si>
    <t>Sheet</t>
  </si>
  <si>
    <t>What it shows</t>
  </si>
  <si>
    <t>1. Basic Syntax</t>
  </si>
  <si>
    <t>All argument combinations from the official docs — defaults, TRUE/FALSE forms, string forms, with and without padding.</t>
  </si>
  <si>
    <t>2. Row Auto-Fit</t>
  </si>
  <si>
    <t>Comment column with multi-line text. RWRESIZE in a helper column makes each row tall enough to display the full comment.</t>
  </si>
  <si>
    <t>3. Column Auto-Fit</t>
  </si>
  <si>
    <t>Number column intentionally too narrow (showing #####). RWRESIZE in a helper row widens the column to fit the values.</t>
  </si>
  <si>
    <t>4. With Padding</t>
  </si>
  <si>
    <t>Same scenarios with the optional Pad parameter to add breathing room.</t>
  </si>
  <si>
    <t>5. Common Patterns</t>
  </si>
  <si>
    <t>Production-style patterns: helper columns, conditional resizing, merged-cell behavior, AI-narrative rows.</t>
  </si>
  <si>
    <t>6. Common Mistakes</t>
  </si>
  <si>
    <t>Pitfalls to avoid — hidden rows, merged-cell expectations, axis confusion.</t>
  </si>
  <si>
    <t>Basic Syntax — RWRESIZE( [Axis], [Pad] )</t>
  </si>
  <si>
    <t>Auto-fit row height — three equivalent ways to write it</t>
  </si>
  <si>
    <t>Formula (display)</t>
  </si>
  <si>
    <t>Formula (live)</t>
  </si>
  <si>
    <t>What it does</t>
  </si>
  <si>
    <t>Expected outcome here</t>
  </si>
  <si>
    <t>=RWRESIZE()</t>
  </si>
  <si>
    <t>No arguments — Axis defaults to TRUE/"rows", no padding. Resizes the row's height to autofit data.</t>
  </si>
  <si>
    <t>When run through Reportworq: this row's height is autofitted to its content. With current cell content the row would shrink to about one line height (since the cells in this row are short text).</t>
  </si>
  <si>
    <t>=RWRESIZE(TRUE)</t>
  </si>
  <si>
    <t>TRUE for Axis means "rows". Equivalent to the row above.</t>
  </si>
  <si>
    <t>Same outcome as the row above — this row's height is autofitted to fit its content.</t>
  </si>
  <si>
    <t>=RWRESIZE("rows")</t>
  </si>
  <si>
    <t>Explicit string form. All three are equivalent — they autofit the row's height.</t>
  </si>
  <si>
    <t>Same outcome as the two rows above. The string form makes the intent obvious to readers.</t>
  </si>
  <si>
    <t>Auto-fit column width — two equivalent ways to write it</t>
  </si>
  <si>
    <t>=RWRESIZE(FALSE)</t>
  </si>
  <si>
    <t>FALSE for Axis means "columns". Resizes the column's width to autofit data.</t>
  </si>
  <si>
    <t>When run through Reportworq: column C's width is autofitted to its widest content. Currently C is set to width 32 to accommodate the live formula text — autofit would shrink it.</t>
  </si>
  <si>
    <t>=RWRESIZE("columns")</t>
  </si>
  <si>
    <t>Explicit string form. Equivalent to the row above.</t>
  </si>
  <si>
    <t>Same outcome as the row above. The string form makes the intent obvious to readers.</t>
  </si>
  <si>
    <t>With optional Pad parameter</t>
  </si>
  <si>
    <t>The Pad parameter adds extra height (for rows) or width (for columns) on top of the autofit calculation. Useful when the tight autofit feels cramped or when you want a consistent visual margin around dynamic content.</t>
  </si>
  <si>
    <t>=RWRESIZE(TRUE, 5)</t>
  </si>
  <si>
    <t>Auto-fits the row height, then adds 5 additional points of height for breathing room.</t>
  </si>
  <si>
    <t>When run: this row autofits, then 5pt extra height is added. Visible result: a slightly taller row than a bare =RWRESIZE() would produce.</t>
  </si>
  <si>
    <t>=RWRESIZE("rows", 5)</t>
  </si>
  <si>
    <t>String form with padding — equivalent to the row above.</t>
  </si>
  <si>
    <t>Same outcome as the row above — autofit + 5pt of additional height.</t>
  </si>
  <si>
    <t>=RWRESIZE(FALSE, 2)</t>
  </si>
  <si>
    <t>Auto-fits the column width, then adds 2 additional points of width.</t>
  </si>
  <si>
    <t>When run: column C autofits, then 2pt extra width is added. Visible result: column slightly wider than a bare =RWRESIZE(FALSE) would produce.</t>
  </si>
  <si>
    <t>=RWRESIZE("columns", 2)</t>
  </si>
  <si>
    <t>String form for column autofit with 2 points of padding.</t>
  </si>
  <si>
    <t>Same outcome as the row above — column C autofits with 2pt of additional width.</t>
  </si>
  <si>
    <t>Row Auto-Fit — expand row height to fit multi-line text</t>
  </si>
  <si>
    <t>Scenario: a variance report with a Comments column (C) holding analyst-written or AI-generated narrative. Comments vary in length. Column D shows the RWRESIZE formula as readable text. Column E is the SAME formula stored live.
IMPORTANT: RWRESIZE autofits the ENTIRE ROW — it sizes to whichever cell in the row needs the most height, not just the comment cell. To make this demo meaningful, the per-row expected outcomes are kept BELOW the data table (not in a column on the same row), so the comment column is the only thing driving each row's height.</t>
  </si>
  <si>
    <t>Account</t>
  </si>
  <si>
    <t>Variance</t>
  </si>
  <si>
    <t>Comment</t>
  </si>
  <si>
    <t>RWRESIZE formula (display)</t>
  </si>
  <si>
    <t>RWRESIZE formula (live)</t>
  </si>
  <si>
    <t>Revenue</t>
  </si>
  <si>
    <t>Strong Q3 driven by enterprise renewals closing earlier than forecast. Three deals over $50K landed in September that were originally projected for October. Pipeline conversion rate improved to 38% (vs 31% prior quarter).</t>
  </si>
  <si>
    <t>=RWRESIZE(TRUE, 3)</t>
  </si>
  <si>
    <t>COGS</t>
  </si>
  <si>
    <t>Cloud infrastructure costs higher than budget due to unexpected scaling required for the new self-serve product launch.</t>
  </si>
  <si>
    <t>Marketing</t>
  </si>
  <si>
    <t>Underspend on paid digital — reallocated to event sponsorships in Q4.</t>
  </si>
  <si>
    <t>R&amp;D</t>
  </si>
  <si>
    <t>Two senior engineering hires came in earlier than the staffing plan assumed. Also includes signing bonuses ($12K) and equipment refresh ($8K) for the platform team. Net headcount target unchanged for year-end.</t>
  </si>
  <si>
    <t>G&amp;A</t>
  </si>
  <si>
    <t>Minor — within rounding.</t>
  </si>
  <si>
    <t>Expected outcome — per row (kept here so it doesn't influence autofit)</t>
  </si>
  <si>
    <t>When you run this sheet through Reportworq, here's what each row's height should look like. These outcomes are kept in this reference section (not in a column on the data rows themselves) because if they sat alongside the data, the long outcome text would force EVERY row to autofit to roughly the same tall height — and you'd lose the visual variation that makes the demo work.</t>
  </si>
  <si>
    <t>Row</t>
  </si>
  <si>
    <t>Expected row height after RWRESIZE runs</t>
  </si>
  <si>
    <t>Row 6</t>
  </si>
  <si>
    <t>Comment is ~3-4 lines of wrapped text. Row should expand to fit all three sentences plus 3pt of padding — the TALLEST row in this table.</t>
  </si>
  <si>
    <t>Row 7</t>
  </si>
  <si>
    <t>Comment is ~2 lines of wrapped text. Row should expand to fit two lines plus 3pt padding — moderately tall.</t>
  </si>
  <si>
    <t>Row 8</t>
  </si>
  <si>
    <t>Comment is ~1-2 lines of wrapped text. Row should expand to fit ~1.5 lines plus 3pt padding — fairly compact.</t>
  </si>
  <si>
    <t>Row 9</t>
  </si>
  <si>
    <t>Comment is ~3-4 lines of wrapped text. Row should expand to a height comparable to the Revenue row — another tall row.</t>
  </si>
  <si>
    <t>Row 10</t>
  </si>
  <si>
    <t>Comment is ~1 line of text. Row should remain at a tight single-line height plus 3pt padding — the SHORTEST row in this table.</t>
  </si>
  <si>
    <t>Legend:</t>
  </si>
  <si>
    <t>green tint = live formula column (Excel shows #NAME?, Reportworq evaluates it at runtime).</t>
  </si>
  <si>
    <t>amber tint = expected outcome (what should happen at the corresponding data row when Reportworq runs).</t>
  </si>
  <si>
    <t>Column Auto-Fit — fix the ##### display problem</t>
  </si>
  <si>
    <t>Scenario: a quarterly report where columns B-E are intentionally set to width 7 — too narrow to display the full numeric values. Excel shows ##### in cells where the value won't fit. Row 5 shows the RWRESIZE formula as text. Row 6 holds the live formula.
CRITICAL LAYOUT NOTE: RWRESIZE on a column autofits to the widest cell in THAT column. On this sheet, columns B-E contain ONLY the numeric data and the short formula text — nothing else. All explanatory text (labels, expected outcomes, legends) lives entirely in column A, which is set to width 100 to accommodate it. If any reference text leaked into columns B-E, Reportworq would autofit those columns to fit the long text instead of the dollar values, and the demo would lie about the expected outcome.</t>
  </si>
  <si>
    <t>Account label  &gt;&gt;&gt;&gt;</t>
  </si>
  <si>
    <t>Q1</t>
  </si>
  <si>
    <t>Q2</t>
  </si>
  <si>
    <t>Q3</t>
  </si>
  <si>
    <t>Q4</t>
  </si>
  <si>
    <t>RWRESIZE display formula  &gt;&gt;&gt;&gt;</t>
  </si>
  <si>
    <t>=RWRESIZE(FALSE,1)</t>
  </si>
  <si>
    <t>RWRESIZE live formula  &gt;&gt;&gt;&gt;</t>
  </si>
  <si>
    <t>Data table  &gt;&gt;&gt;&gt;</t>
  </si>
  <si>
    <t>Cost of Goods</t>
  </si>
  <si>
    <t>Gross Profit</t>
  </si>
  <si>
    <t>Operating Expenses</t>
  </si>
  <si>
    <t>Operating Income</t>
  </si>
  <si>
    <t>Expected outcome — per column (kept in column A only so it doesn't influence autofit on B-E)</t>
  </si>
  <si>
    <t>When you run this sheet through Reportworq, here's what each column's width should look like. ALL of this reference text is kept in column A only — putting any of it in columns B-E would force those columns to autofit wider than the dollar values would otherwise need.</t>
  </si>
  <si>
    <t>Column B (Q1):  Currently width 7 — values show as #####.  Widest dollar value: ($4,800,000) (12 characters formatted).  After RWRESIZE runs, the column autofits to the widest VISIBLE cell content in that column. What ends up driving the width depends on what Reportworq leaves visible in the live formula cell (B6) after evaluation:
  • If the live cell renders blank/empty after the formula fires: the data dollar values (~12 chars) drive the autofit, so the column resizes to roughly width 13-14.
  • If the live cell still shows the formula text ("=rwresize(FALSE(),1)" ≈ 20 chars): the formula text dominates, and the column resizes to roughly width 20-21.
Either outcome eliminates the ##### display and shows the dollar values fully — that's the core win regardless of which behavior Reportworq exhibits.</t>
  </si>
  <si>
    <t>Column C (Q2):  Currently width 7 — values show as #####.  Widest dollar value: ($5,300,000) (12 characters formatted).  After RWRESIZE runs, the column autofits to the widest VISIBLE cell content in that column. What ends up driving the width depends on what Reportworq leaves visible in the live formula cell (C6) after evaluation:
  • If the live cell renders blank/empty after the formula fires: the data dollar values (~12 chars) drive the autofit, so the column resizes to roughly width 13-14.
  • If the live cell still shows the formula text ("=rwresize(FALSE(),1)" ≈ 20 chars): the formula text dominates, and the column resizes to roughly width 20-21.
Either outcome eliminates the ##### display and shows the dollar values fully — that's the core win regardless of which behavior Reportworq exhibits.</t>
  </si>
  <si>
    <t>Column D (Q3):  Currently width 7 — values show as #####.  Widest dollar value: ($5,700,000) (12 characters formatted).  After RWRESIZE runs, the column autofits to the widest VISIBLE cell content in that column. What ends up driving the width depends on what Reportworq leaves visible in the live formula cell (D6) after evaluation:
  • If the live cell renders blank/empty after the formula fires: the data dollar values (~12 chars) drive the autofit, so the column resizes to roughly width 13-14.
  • If the live cell still shows the formula text ("=rwresize(FALSE(),1)" ≈ 20 chars): the formula text dominates, and the column resizes to roughly width 20-21.
Either outcome eliminates the ##### display and shows the dollar values fully — that's the core win regardless of which behavior Reportworq exhibits.</t>
  </si>
  <si>
    <t>Column E (Q4):  Currently width 7 — values show as #####.  Widest dollar value: ($6,100,000) (12 characters formatted).  After RWRESIZE runs, the column autofits to the widest VISIBLE cell content in that column. What ends up driving the width depends on what Reportworq leaves visible in the live formula cell (E6) after evaluation:
  • If the live cell renders blank/empty after the formula fires: the data dollar values (~12 chars) drive the autofit, so the column resizes to roughly width 13-14.
  • If the live cell still shows the formula text ("=rwresize(FALSE(),1)" ≈ 20 chars): the formula text dominates, and the column resizes to roughly width 20-21.
Either outcome eliminates the ##### display and shows the dollar values fully — that's the core win regardless of which behavior Reportworq exhibits.</t>
  </si>
  <si>
    <t>[ yellow tint cells (B5:E5) ]  =  display formula cells (the formula stored as text).</t>
  </si>
  <si>
    <t>[ green tint cells (B6:E6) ]  =  live formula row (Excel shows #NAME?, Reportworq evaluates it).</t>
  </si>
  <si>
    <t>[ amber tint cells above ]  =  expected outcome (what column width should result for each column when Reportworq runs).</t>
  </si>
  <si>
    <t>Using the Pad Parameter for Breathing Room</t>
  </si>
  <si>
    <t>The Pad parameter (second argument to RWRESIZE) adds extra height (rows) or width (columns) on top of the autofit calculation. Pad units are points (1 point ≈ 1.33 pixels at 96 DPI).</t>
  </si>
  <si>
    <t>Padding examples</t>
  </si>
  <si>
    <t>No padding — autofit only. Rows can look tight, especially with descenders (g, p, y) clipping the bottom.</t>
  </si>
  <si>
    <t>When run: this row autofits to its content with zero padding. Result is a tight, single-line height (approx. 15pt). Visible: text fills the row with no margin.</t>
  </si>
  <si>
    <t>=RWRESIZE(TRUE, 2)</t>
  </si>
  <si>
    <t>Light padding (2pt) — adds a small but noticeable margin. Good default for general row autofit.</t>
  </si>
  <si>
    <t>When run: this row autofits to its content + 2pt extra. Result: roughly 17pt tall. Visible margin above and below text but still compact.</t>
  </si>
  <si>
    <t>Moderate padding (5pt) — comfortable for narrative text or dashboards meant to be read on screen.</t>
  </si>
  <si>
    <t>When run: this row autofits + 5pt. Result: approx. 20pt tall — comfortable spacing for on-screen reading.</t>
  </si>
  <si>
    <t>=RWRESIZE(TRUE, 10)</t>
  </si>
  <si>
    <t>Generous padding (10pt) — useful for tables that will be printed or for high-density management reports.</t>
  </si>
  <si>
    <t>When run: this row autofits + 10pt. Result: approx. 25pt tall — generous spacing, suitable for printed reports.</t>
  </si>
  <si>
    <t>=RWRESIZE(FALSE, 1)</t>
  </si>
  <si>
    <t>Column autofit with 1pt padding — useful for numeric columns where you just need to clear the ##### display.</t>
  </si>
  <si>
    <t>When run: column C autofits + 1pt. Result: column just wide enough to show its widest value + minimal margin.</t>
  </si>
  <si>
    <t>=RWRESIZE("columns", 4)</t>
  </si>
  <si>
    <t>Column autofit with 4pt padding — gives text-heavy columns a more relaxed appearance.</t>
  </si>
  <si>
    <t>When run: column C autofits + 4pt. Result: column with comfortable margins on either side of content.</t>
  </si>
  <si>
    <t>Choosing a Pad value</t>
  </si>
  <si>
    <t>Use case</t>
  </si>
  <si>
    <t>Suggested Pad</t>
  </si>
  <si>
    <t>Notes</t>
  </si>
  <si>
    <t>Numeric columns (avoid #####)</t>
  </si>
  <si>
    <t>Pad 0-2</t>
  </si>
  <si>
    <t>Just enough to clear the autofit. The point is fitting the value, not making the column look spacious.</t>
  </si>
  <si>
    <t>Single-line text rows</t>
  </si>
  <si>
    <t>Pad 2-3</t>
  </si>
  <si>
    <t>Standard breathing room — most production reports look fine here.</t>
  </si>
  <si>
    <t>Multi-line / narrative rows</t>
  </si>
  <si>
    <t>Pad 3-6</t>
  </si>
  <si>
    <t>Extra space helps the eye separate paragraphs. AI-generated narrative often benefits from this range.</t>
  </si>
  <si>
    <t>Print-ready / formal reports</t>
  </si>
  <si>
    <t>Pad 5-10</t>
  </si>
  <si>
    <t>More generous spacing for documents that will be printed or sent externally.</t>
  </si>
  <si>
    <t>Dashboard / on-screen reports</t>
  </si>
  <si>
    <t>Pad 5-8</t>
  </si>
  <si>
    <t>Looser spacing reads better at typical zoom levels.</t>
  </si>
  <si>
    <t>Common RWRESIZE Patterns</t>
  </si>
  <si>
    <t>Production-style patterns. The Axis can be hard-coded (TRUE/FALSE/string) or even driven from a formula. RWRESIZE is most useful as a hidden helper column or row that sits next to dynamic content. The 'When to use it' column is generic guidance; the 'Expected outcome' column tells you what happens at THIS specific cell when run.
Note: This is a reference/pattern sheet — running RWRESIZE here would autofit each row to fit its tallest cell (which on this sheet is the long outcome text). If you want to see RWRESIZE actually CHANGE row heights or column widths in a meaningful way, use the dedicated demo sheets '2. Row Auto-Fit' and '3. Column Auto-Fit' where the data is structured to show the resize effect clearly.</t>
  </si>
  <si>
    <t>Pattern name</t>
  </si>
  <si>
    <t>When to use it (general)</t>
  </si>
  <si>
    <t>Helper column for narrative rows</t>
  </si>
  <si>
    <t>Place in a narrow helper column next to a wide text column. Each row autofits to the tallest content in that row, with 3pt of padding. The most common production pattern.</t>
  </si>
  <si>
    <t>In THIS workbook this row contains a single line of text in columns B-F. When run, the row autofits + 3pt — result is approximately one-line-tall. A real narrative row would expand much more.</t>
  </si>
  <si>
    <t>Helper row for numeric columns</t>
  </si>
  <si>
    <t>Place in a thin helper row above or below the data block. Each column autofits to its widest value, eliminating ##### with minimal padding.</t>
  </si>
  <si>
    <t>When run: column C autofits + 1pt. With this cell's content (~42 chars wide formula text), the column resizes to fit that text. Useful in scenarios like sheet "3. Column Auto-Fit".</t>
  </si>
  <si>
    <t>Default autofit, no padding</t>
  </si>
  <si>
    <t>Cleanest form when you trust the autofit and don't need padding. Defaults to row autofit.</t>
  </si>
  <si>
    <t>When run: this row's height autofits to its content with zero padding. Result is the tightest possible row height (~15pt for one line of text).</t>
  </si>
  <si>
    <t>Aggressive row padding for AI narrative</t>
  </si>
  <si>
    <t>=RWRESIZE("rows", 8)</t>
  </si>
  <si>
    <t>AI-generated commentary tends to be dense — extra padding (8pt) prevents the wall-of-text feel.</t>
  </si>
  <si>
    <t>When run: row autofits + 8pt extra. With this single-line content, result is approx. 23pt — extra airy. With multi-line AI content, the padding gives clear visual separation.</t>
  </si>
  <si>
    <t>Conditional autofit</t>
  </si>
  <si>
    <t>=RWRESIZE(IF($A1="Wide",FALSE,TRUE), 2)</t>
  </si>
  <si>
    <t>Drive the Axis from a flag elsewhere in the report — e.g., a column that toggles row vs. column autofit per section. Less common but useful for templates that serve multiple layouts.</t>
  </si>
  <si>
    <t>In THIS workbook A1 is empty, so $A1&lt;&gt;"Wide" is TRUE — the IF returns TRUE and Axis="rows". Result: this row's height autofits + 2pt. If A1 contained "Wide", the column would resize instead.</t>
  </si>
  <si>
    <t>Merged-cell range autofit</t>
  </si>
  <si>
    <t>When placed in a merged cell spanning multiple rows, the resize is distributed equally across all merged rows. Good for section headers spanning a band.</t>
  </si>
  <si>
    <t>In THIS workbook this cell is NOT actually merged, so it just resizes its own row + 2pt. In a real merged-range scenario, the autofit height would be distributed across all merged rows.</t>
  </si>
  <si>
    <t>Both axes (two formulas)</t>
  </si>
  <si>
    <t>There's no "both" mode — use TWO RWRESIZE formulas, one for the row (Axis=TRUE) and one for the column (Axis=FALSE), placed in different helper cells.</t>
  </si>
  <si>
    <t>This single formula only resizes the ROW. To also resize the column, you'd need a second RWRESIZE(FALSE, ...) formula somewhere in the same column. Result here: row autofits + 3pt only.</t>
  </si>
  <si>
    <t>Pair with RWSUPPRESS carefully</t>
  </si>
  <si>
    <t>RWRESIZE will not operate on hidden rows. If RWSUPPRESS hides the row, the resize is silently skipped (this is by design — prevents accidental unhiding).</t>
  </si>
  <si>
    <t>In THIS workbook this row is visible, so the RWRESIZE fires normally. If a RWSUPPRESS on the same row had hidden it, RWRESIZE would silently skip — no error, just no resize.</t>
  </si>
  <si>
    <t>Common Mistakes &amp; Pitfalls</t>
  </si>
  <si>
    <t>These are the issues that most often show up the first time someone uses RWRESIZE in a real Reportworq job. Knowing them up front saves a lot of debugging.</t>
  </si>
  <si>
    <t>Mistake</t>
  </si>
  <si>
    <t>Why it fails</t>
  </si>
  <si>
    <t>Fix</t>
  </si>
  <si>
    <t>Hidden rows / columns</t>
  </si>
  <si>
    <t>Placing RWRESIZE on a row or column that is hidden in the source workbook.</t>
  </si>
  <si>
    <t>RWRESIZE deliberately skips hidden rows/columns to avoid accidentally unhiding them. If you need the resize, unhide first.</t>
  </si>
  <si>
    <t>Axis confusion (TRUE = rows, not "on")</t>
  </si>
  <si>
    <t>Reading TRUE as "enable" rather than "rows". Writing =RWRESIZE(TRUE) expecting it to do "both" axes when it just does rows.</t>
  </si>
  <si>
    <t>TRUE / "rows" = autofit rows. FALSE / "columns" = autofit columns. There is no "both" — use two RWRESIZE formulas in different helper cells if you need both.</t>
  </si>
  <si>
    <t>Pad in the wrong units</t>
  </si>
  <si>
    <t>Treating Pad as pixels or characters. It's in points (Excel's native height/width unit).</t>
  </si>
  <si>
    <t>Roughly: 1 point = 1.33 pixels at 96 DPI. Start small (2-5) for rows; smaller (1-2) for columns.</t>
  </si>
  <si>
    <t>RWRESIZE in a merged cell, expecting only that cell</t>
  </si>
  <si>
    <t>When placed in a merged cell, the resize applies to the entire merged range — not just the cell. Surprises if the merge spans many rows.</t>
  </si>
  <si>
    <t>Either avoid merged cells, or be aware that the height/width is distributed equally across all rows/columns in the merge.</t>
  </si>
  <si>
    <t>Combining with RWSUPPRESS in delete mode</t>
  </si>
  <si>
    <t>RWSUPPRESS in "delete" mode physically removes the row at runtime. If RWRESIZE was on that row, the resize formula goes with it — even if the row would have stayed visible.</t>
  </si>
  <si>
    <t>Put RWRESIZE on rows that won't be suppressed, or use RWSUPPRESS in "hide" mode and know that the resize will be skipped on hidden rows anyway.</t>
  </si>
  <si>
    <t>Expecting it to set a fixed height</t>
  </si>
  <si>
    <t>Trying to use RWRESIZE to enforce a specific row height (e.g., always 30pt).</t>
  </si>
  <si>
    <t>RWRESIZE only AUTOFITS — there's no mode that sets a specific height. For fixed heights, set the row/column dimension directly in the source workbook.</t>
  </si>
  <si>
    <t>Putting RWRESIZE in the wrong cell</t>
  </si>
  <si>
    <t>Placing RWRESIZE far from the data it's meant to autofit. The resize applies to the row/column of the cell containing the formula — not the cells you're looking at.</t>
  </si>
  <si>
    <t>Place RWRESIZE in the same row (for row autofit) or column (for column autofit) as the content you want fitted. A dedicated helper column/row makes this unambiguous.</t>
  </si>
  <si>
    <t>Testing only in Excel, not Reportworq</t>
  </si>
  <si>
    <t>Excel renders RWRESIZE as a name-error (the Reportworq add-in function is not registered with Excel itself).</t>
  </si>
  <si>
    <t>That's normal and expected — the live-formula columns in this workbook show #NAME? in Excel. The function is evaluated when Reportworq processes the file at runtime — test through Reportworq's Test Job 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</si>
</sst>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quot;#,##0\);\-"/>
  </numFmts>
  <fonts count="11" x14ac:knownFonts="1">
    <font>
      <sz val="11"/>
      <color theme="1"/>
      <name val="Calibri"/>
      <family val="2"/>
      <charset val="1"/>
    </font>
    <font>
      <b/>
      <sz val="16"/>
      <color rgb="FFFFFFFF"/>
      <name val="Arial"/>
      <family val="2"/>
    </font>
    <font>
      <b/>
      <sz val="11"/>
      <color rgb="FF000000"/>
      <name val="Arial"/>
      <family val="2"/>
    </font>
    <font>
      <sz val="10"/>
      <name val="Arial"/>
      <family val="2"/>
    </font>
    <font>
      <b/>
      <sz val="12"/>
      <color rgb="FFFFFFFF"/>
      <name val="Arial"/>
      <family val="2"/>
    </font>
    <font>
      <b/>
      <sz val="11"/>
      <color rgb="FFFFFFFF"/>
      <name val="Arial"/>
      <family val="2"/>
    </font>
    <font>
      <b/>
      <sz val="10"/>
      <name val="Arial"/>
      <family val="2"/>
    </font>
    <font>
      <i/>
      <sz val="10"/>
      <color rgb="FF0070C0"/>
      <name val="Arial"/>
      <family val="2"/>
    </font>
    <font>
      <sz val="10"/>
      <color rgb="FF375623"/>
      <name val="Arial"/>
      <family val="2"/>
    </font>
    <font>
      <sz val="10"/>
      <color rgb="FF7F6000"/>
      <name val="Arial"/>
      <family val="2"/>
    </font>
    <font>
      <i/>
      <sz val="10"/>
      <color rgb="FF595959"/>
      <name val="Arial"/>
      <family val="2"/>
    </font>
  </fonts>
  <fills count="11">
    <fill>
      <patternFill patternType="none"/>
    </fill>
    <fill>
      <patternFill patternType="gray125"/>
    </fill>
    <fill>
      <patternFill patternType="solid">
        <fgColor rgb="FF1F4E78"/>
        <bgColor rgb="FF003366"/>
      </patternFill>
    </fill>
    <fill>
      <patternFill patternType="solid">
        <fgColor rgb="FFD9E1F2"/>
        <bgColor rgb="FFE2EFDA"/>
      </patternFill>
    </fill>
    <fill>
      <patternFill patternType="solid">
        <fgColor rgb="FF2E75B6"/>
        <bgColor rgb="FF4472C4"/>
      </patternFill>
    </fill>
    <fill>
      <patternFill patternType="solid">
        <fgColor rgb="FF4472C4"/>
        <bgColor rgb="FF2E75B6"/>
      </patternFill>
    </fill>
    <fill>
      <patternFill patternType="solid">
        <fgColor rgb="FFFFF2CC"/>
        <bgColor rgb="FFE2EFDA"/>
      </patternFill>
    </fill>
    <fill>
      <patternFill patternType="solid">
        <fgColor rgb="FF548235"/>
        <bgColor rgb="FF595959"/>
      </patternFill>
    </fill>
    <fill>
      <patternFill patternType="solid">
        <fgColor rgb="FFBF8F00"/>
        <bgColor rgb="FFFF6600"/>
      </patternFill>
    </fill>
    <fill>
      <patternFill patternType="solid">
        <fgColor rgb="FFE2EFDA"/>
        <bgColor rgb="FFD9E1F2"/>
      </patternFill>
    </fill>
    <fill>
      <patternFill patternType="solid">
        <fgColor rgb="FFFFE699"/>
        <b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7">
    <xf numFmtId="0" fontId="0" fillId="0" borderId="0" xfId="0"/>
    <xf numFmtId="0" fontId="3" fillId="0" borderId="1" xfId="0" applyFont="1" applyBorder="1" applyAlignment="1">
      <alignment vertical="center" wrapText="1"/>
    </xf>
    <xf numFmtId="0" fontId="5" fillId="5" borderId="1" xfId="0" applyFont="1" applyFill="1" applyBorder="1" applyAlignment="1">
      <alignment horizontal="center" vertical="center" wrapText="1"/>
    </xf>
    <xf numFmtId="0" fontId="3" fillId="0" borderId="0" xfId="0" applyFont="1" applyAlignment="1">
      <alignment vertical="center" wrapText="1"/>
    </xf>
    <xf numFmtId="0" fontId="9" fillId="6" borderId="1" xfId="0" applyFont="1" applyFill="1" applyBorder="1" applyAlignment="1">
      <alignment vertical="center" wrapText="1"/>
    </xf>
    <xf numFmtId="0" fontId="5" fillId="8" borderId="1" xfId="0" applyFont="1" applyFill="1" applyBorder="1" applyAlignment="1">
      <alignment horizontal="center" vertical="center" wrapText="1"/>
    </xf>
    <xf numFmtId="0" fontId="10" fillId="0" borderId="0" xfId="0" applyFont="1" applyAlignment="1">
      <alignment vertical="top" wrapText="1"/>
    </xf>
    <xf numFmtId="0" fontId="3" fillId="0" borderId="0" xfId="0" applyFont="1" applyAlignment="1">
      <alignment vertical="top" wrapText="1"/>
    </xf>
    <xf numFmtId="0" fontId="4" fillId="4" borderId="0" xfId="0" applyFont="1" applyFill="1" applyAlignment="1">
      <alignment horizontal="left" vertical="center" indent="1"/>
    </xf>
    <xf numFmtId="0" fontId="1" fillId="2" borderId="0" xfId="0" applyFont="1" applyFill="1" applyAlignment="1">
      <alignment horizontal="center" vertical="center"/>
    </xf>
    <xf numFmtId="0" fontId="2" fillId="3" borderId="1" xfId="0" applyFont="1" applyFill="1" applyBorder="1" applyAlignment="1">
      <alignment horizontal="left" vertical="top" indent="1"/>
    </xf>
    <xf numFmtId="0" fontId="3" fillId="0" borderId="1" xfId="0" applyFont="1" applyBorder="1" applyAlignment="1">
      <alignment horizontal="left" vertical="top" wrapText="1"/>
    </xf>
    <xf numFmtId="0" fontId="4" fillId="4" borderId="0" xfId="0" applyFont="1" applyFill="1" applyAlignment="1">
      <alignment horizontal="left" vertical="center" indent="1"/>
    </xf>
    <xf numFmtId="0" fontId="3" fillId="0" borderId="0" xfId="0" applyFont="1" applyAlignment="1">
      <alignment vertical="top" wrapText="1"/>
    </xf>
    <xf numFmtId="0" fontId="5" fillId="5" borderId="1" xfId="0" applyFont="1" applyFill="1" applyBorder="1" applyAlignment="1">
      <alignment horizontal="center" vertical="center" wrapText="1"/>
    </xf>
    <xf numFmtId="0" fontId="6" fillId="6" borderId="1" xfId="0" applyFont="1" applyFill="1" applyBorder="1" applyAlignment="1">
      <alignment vertical="center" indent="1"/>
    </xf>
    <xf numFmtId="0" fontId="3" fillId="0" borderId="1" xfId="0" applyFont="1" applyBorder="1" applyAlignment="1">
      <alignment vertical="center" wrapText="1"/>
    </xf>
    <xf numFmtId="0" fontId="5" fillId="7"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7" fillId="0" borderId="1" xfId="0" applyFont="1" applyBorder="1" applyAlignment="1">
      <alignment vertical="center" wrapText="1"/>
    </xf>
    <xf numFmtId="0" fontId="8" fillId="9" borderId="1" xfId="0" applyFont="1" applyFill="1" applyBorder="1" applyAlignment="1">
      <alignment vertical="center" wrapText="1"/>
    </xf>
    <xf numFmtId="0" fontId="9" fillId="6" borderId="1" xfId="0" applyFont="1" applyFill="1" applyBorder="1" applyAlignment="1">
      <alignment vertical="center" wrapText="1"/>
    </xf>
    <xf numFmtId="0" fontId="6" fillId="0" borderId="1" xfId="0" applyFont="1" applyBorder="1" applyAlignment="1">
      <alignment vertical="top"/>
    </xf>
    <xf numFmtId="164" fontId="3" fillId="0" borderId="1" xfId="0" applyNumberFormat="1" applyFont="1" applyBorder="1" applyAlignment="1">
      <alignment horizontal="right" vertical="top"/>
    </xf>
    <xf numFmtId="0" fontId="3" fillId="0" borderId="1" xfId="0" applyFont="1" applyBorder="1" applyAlignment="1">
      <alignment vertical="top" wrapText="1"/>
    </xf>
    <xf numFmtId="0" fontId="6" fillId="0" borderId="1" xfId="0" applyFont="1" applyBorder="1" applyAlignment="1">
      <alignment horizontal="center" vertical="center"/>
    </xf>
    <xf numFmtId="0" fontId="3" fillId="0" borderId="1" xfId="0" applyFont="1" applyBorder="1" applyAlignment="1">
      <alignment vertical="center"/>
    </xf>
    <xf numFmtId="0" fontId="6" fillId="0" borderId="0" xfId="0" applyFont="1"/>
    <xf numFmtId="0" fontId="0" fillId="9" borderId="1" xfId="0" applyFill="1" applyBorder="1"/>
    <xf numFmtId="0" fontId="0" fillId="6" borderId="1" xfId="0" applyFill="1" applyBorder="1"/>
    <xf numFmtId="0" fontId="5" fillId="5" borderId="1" xfId="0" applyFont="1" applyFill="1" applyBorder="1" applyAlignment="1">
      <alignment horizontal="right" vertical="center"/>
    </xf>
    <xf numFmtId="0" fontId="5" fillId="5" borderId="1" xfId="0" applyFont="1" applyFill="1" applyBorder="1" applyAlignment="1">
      <alignment horizontal="center" vertical="center"/>
    </xf>
    <xf numFmtId="0" fontId="5" fillId="5" borderId="1" xfId="0" applyFont="1" applyFill="1" applyBorder="1" applyAlignment="1">
      <alignment horizontal="right" vertical="center" wrapText="1"/>
    </xf>
    <xf numFmtId="0" fontId="7" fillId="10" borderId="1" xfId="0" applyFont="1" applyFill="1" applyBorder="1" applyAlignment="1">
      <alignment horizontal="center" vertical="center" wrapText="1"/>
    </xf>
    <xf numFmtId="0" fontId="5" fillId="7" borderId="1" xfId="0" applyFont="1" applyFill="1" applyBorder="1" applyAlignment="1">
      <alignment horizontal="right" vertical="center" wrapText="1"/>
    </xf>
    <xf numFmtId="0" fontId="8" fillId="9" borderId="1" xfId="0" applyFont="1" applyFill="1" applyBorder="1" applyAlignment="1">
      <alignment horizontal="center" vertical="center" wrapText="1"/>
    </xf>
    <xf numFmtId="0" fontId="5" fillId="5" borderId="1" xfId="0" applyFont="1" applyFill="1" applyBorder="1" applyAlignment="1">
      <alignment horizontal="center"/>
    </xf>
    <xf numFmtId="0" fontId="3" fillId="0" borderId="1" xfId="0" applyFont="1" applyBorder="1" applyAlignment="1">
      <alignment horizontal="right" vertical="center"/>
    </xf>
    <xf numFmtId="164" fontId="3" fillId="0" borderId="1" xfId="0" applyNumberFormat="1" applyFont="1" applyBorder="1" applyAlignment="1">
      <alignment horizontal="right" vertical="center"/>
    </xf>
    <xf numFmtId="0" fontId="6" fillId="0" borderId="1" xfId="0" applyFont="1" applyBorder="1" applyAlignment="1">
      <alignment horizontal="right" vertical="center"/>
    </xf>
    <xf numFmtId="164" fontId="6" fillId="6" borderId="1" xfId="0" applyNumberFormat="1" applyFont="1" applyFill="1" applyBorder="1" applyAlignment="1">
      <alignment horizontal="right" vertical="center"/>
    </xf>
    <xf numFmtId="0" fontId="3" fillId="10" borderId="1" xfId="0" applyFont="1" applyFill="1" applyBorder="1" applyAlignment="1">
      <alignment vertical="center" wrapText="1"/>
    </xf>
    <xf numFmtId="0" fontId="3" fillId="9" borderId="1" xfId="0" applyFont="1" applyFill="1" applyBorder="1" applyAlignment="1">
      <alignment vertical="center" wrapText="1"/>
    </xf>
    <xf numFmtId="0" fontId="3" fillId="6" borderId="1" xfId="0" applyFont="1" applyFill="1" applyBorder="1" applyAlignment="1">
      <alignment vertical="center" wrapText="1"/>
    </xf>
    <xf numFmtId="0" fontId="6" fillId="0" borderId="1" xfId="0" applyFont="1" applyBorder="1" applyAlignment="1">
      <alignment vertical="center" wrapText="1"/>
    </xf>
    <xf numFmtId="0" fontId="3" fillId="0" borderId="1" xfId="0" applyFont="1" applyBorder="1" applyAlignment="1">
      <alignment horizontal="center" vertical="center"/>
    </xf>
    <xf numFmtId="0" fontId="6"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2E75B6"/>
      <rgbColor rgb="FFBFBFBF"/>
      <rgbColor rgb="FF808080"/>
      <rgbColor rgb="FF9999FF"/>
      <rgbColor rgb="FF993366"/>
      <rgbColor rgb="FFFFF2CC"/>
      <rgbColor rgb="FFCCFFFF"/>
      <rgbColor rgb="FF660066"/>
      <rgbColor rgb="FFFF8080"/>
      <rgbColor rgb="FF0070C0"/>
      <rgbColor rgb="FFD9E1F2"/>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FCC99"/>
      <rgbColor rgb="FF4472C4"/>
      <rgbColor rgb="FF33CCCC"/>
      <rgbColor rgb="FF99CC00"/>
      <rgbColor rgb="FFFFCC00"/>
      <rgbColor rgb="FFBF8F00"/>
      <rgbColor rgb="FFFF6600"/>
      <rgbColor rgb="FF595959"/>
      <rgbColor rgb="FF969696"/>
      <rgbColor rgb="FF003366"/>
      <rgbColor rgb="FF548235"/>
      <rgbColor rgb="FF003300"/>
      <rgbColor rgb="FF333300"/>
      <rgbColor rgb="FF993300"/>
      <rgbColor rgb="FF993366"/>
      <rgbColor rgb="FF1F4E78"/>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tabSelected="1" zoomScaleNormal="100" workbookViewId="0">
      <selection sqref="A1:B1"/>
    </sheetView>
  </sheetViews>
  <sheetFormatPr defaultColWidth="8.7109375" defaultRowHeight="15" x14ac:dyDescent="0.25"/>
  <cols>
    <col min="1" max="1" width="22" customWidth="1"/>
    <col min="2" max="2" width="95" customWidth="1"/>
  </cols>
  <sheetData>
    <row r="1" spans="1:2" ht="30" customHeight="1" x14ac:dyDescent="0.25">
      <c r="A1" s="9" t="s">
        <v>0</v>
      </c>
      <c r="B1" s="9"/>
    </row>
    <row r="3" spans="1:2" ht="49.5" customHeight="1" x14ac:dyDescent="0.25">
      <c r="A3" s="10" t="s">
        <v>1</v>
      </c>
      <c r="B3" s="11" t="s">
        <v>2</v>
      </c>
    </row>
    <row r="4" spans="1:2" ht="49.5" customHeight="1" x14ac:dyDescent="0.25">
      <c r="A4" s="10" t="s">
        <v>3</v>
      </c>
      <c r="B4" s="11" t="s">
        <v>4</v>
      </c>
    </row>
    <row r="5" spans="1:2" ht="49.5" customHeight="1" x14ac:dyDescent="0.25">
      <c r="A5" s="10" t="s">
        <v>5</v>
      </c>
      <c r="B5" s="11" t="s">
        <v>6</v>
      </c>
    </row>
    <row r="6" spans="1:2" ht="49.5" customHeight="1" x14ac:dyDescent="0.25">
      <c r="A6" s="10" t="s">
        <v>7</v>
      </c>
      <c r="B6" s="11" t="s">
        <v>8</v>
      </c>
    </row>
    <row r="7" spans="1:2" ht="49.5" customHeight="1" x14ac:dyDescent="0.25">
      <c r="A7" s="10" t="s">
        <v>9</v>
      </c>
      <c r="B7" s="11" t="s">
        <v>10</v>
      </c>
    </row>
    <row r="8" spans="1:2" ht="49.5" customHeight="1" x14ac:dyDescent="0.25">
      <c r="A8" s="10" t="s">
        <v>11</v>
      </c>
      <c r="B8" s="11" t="s">
        <v>12</v>
      </c>
    </row>
    <row r="9" spans="1:2" ht="49.5" customHeight="1" x14ac:dyDescent="0.25">
      <c r="A9" s="10" t="s">
        <v>13</v>
      </c>
      <c r="B9" s="11" t="s">
        <v>14</v>
      </c>
    </row>
    <row r="10" spans="1:2" ht="49.5" customHeight="1" x14ac:dyDescent="0.25">
      <c r="A10" s="10" t="s">
        <v>15</v>
      </c>
      <c r="B10" s="11" t="s">
        <v>16</v>
      </c>
    </row>
    <row r="11" spans="1:2" ht="49.5" customHeight="1" x14ac:dyDescent="0.25">
      <c r="A11" s="10" t="s">
        <v>17</v>
      </c>
      <c r="B11" s="11" t="s">
        <v>18</v>
      </c>
    </row>
    <row r="13" spans="1:2" ht="21.75" customHeight="1" x14ac:dyDescent="0.25">
      <c r="A13" s="8" t="s">
        <v>19</v>
      </c>
      <c r="B13" s="8"/>
    </row>
    <row r="14" spans="1:2" ht="214.5" customHeight="1" x14ac:dyDescent="0.25">
      <c r="A14" s="7" t="s">
        <v>20</v>
      </c>
      <c r="B14" s="7"/>
    </row>
    <row r="16" spans="1:2" ht="21.75" customHeight="1" x14ac:dyDescent="0.25">
      <c r="A16" s="8" t="s">
        <v>21</v>
      </c>
      <c r="B16" s="8"/>
    </row>
    <row r="17" spans="1:2" x14ac:dyDescent="0.25">
      <c r="A17" s="14" t="s">
        <v>22</v>
      </c>
      <c r="B17" s="14" t="s">
        <v>23</v>
      </c>
    </row>
    <row r="18" spans="1:2" ht="30" customHeight="1" x14ac:dyDescent="0.25">
      <c r="A18" s="15" t="s">
        <v>24</v>
      </c>
      <c r="B18" s="16" t="s">
        <v>25</v>
      </c>
    </row>
    <row r="19" spans="1:2" ht="30" customHeight="1" x14ac:dyDescent="0.25">
      <c r="A19" s="15" t="s">
        <v>26</v>
      </c>
      <c r="B19" s="16" t="s">
        <v>27</v>
      </c>
    </row>
    <row r="20" spans="1:2" ht="30" customHeight="1" x14ac:dyDescent="0.25">
      <c r="A20" s="15" t="s">
        <v>28</v>
      </c>
      <c r="B20" s="16" t="s">
        <v>29</v>
      </c>
    </row>
    <row r="21" spans="1:2" ht="30" customHeight="1" x14ac:dyDescent="0.25">
      <c r="A21" s="15" t="s">
        <v>30</v>
      </c>
      <c r="B21" s="16" t="s">
        <v>31</v>
      </c>
    </row>
    <row r="22" spans="1:2" ht="30" customHeight="1" x14ac:dyDescent="0.25">
      <c r="A22" s="15" t="s">
        <v>32</v>
      </c>
      <c r="B22" s="16" t="s">
        <v>33</v>
      </c>
    </row>
    <row r="23" spans="1:2" ht="30" customHeight="1" x14ac:dyDescent="0.25">
      <c r="A23" s="15" t="s">
        <v>34</v>
      </c>
      <c r="B23" s="16" t="s">
        <v>35</v>
      </c>
    </row>
  </sheetData>
  <mergeCells count="4">
    <mergeCell ref="A1:B1"/>
    <mergeCell ref="A13:B13"/>
    <mergeCell ref="A14:B14"/>
    <mergeCell ref="A16:B1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20"/>
  <sheetViews>
    <sheetView zoomScaleNormal="100" workbookViewId="0"/>
  </sheetViews>
  <sheetFormatPr defaultColWidth="8.7109375" defaultRowHeight="15" x14ac:dyDescent="0.25"/>
  <cols>
    <col min="1" max="1" width="5" customWidth="1"/>
    <col min="2" max="3" width="32" customWidth="1"/>
    <col min="4" max="4" width="50" customWidth="1"/>
    <col min="5" max="5" width="45" customWidth="1"/>
  </cols>
  <sheetData>
    <row r="1" spans="2:5" ht="27.75" customHeight="1" x14ac:dyDescent="0.25">
      <c r="B1" s="9" t="s">
        <v>36</v>
      </c>
      <c r="C1" s="9"/>
      <c r="D1" s="9"/>
      <c r="E1" s="9"/>
    </row>
    <row r="3" spans="2:5" ht="21.75" customHeight="1" x14ac:dyDescent="0.25">
      <c r="B3" s="8" t="s">
        <v>37</v>
      </c>
      <c r="C3" s="8"/>
      <c r="D3" s="8"/>
      <c r="E3" s="8"/>
    </row>
    <row r="4" spans="2:5" ht="31.5" customHeight="1" x14ac:dyDescent="0.25">
      <c r="B4" s="14" t="s">
        <v>38</v>
      </c>
      <c r="C4" s="17" t="s">
        <v>39</v>
      </c>
      <c r="D4" s="14" t="s">
        <v>40</v>
      </c>
      <c r="E4" s="18" t="s">
        <v>41</v>
      </c>
    </row>
    <row r="5" spans="2:5" ht="49.5" customHeight="1" x14ac:dyDescent="0.25">
      <c r="B5" s="19" t="s">
        <v>42</v>
      </c>
      <c r="C5" s="20" t="e">
        <f ca="1">rwresize()</f>
        <v>#NAME?</v>
      </c>
      <c r="D5" s="16" t="s">
        <v>43</v>
      </c>
      <c r="E5" s="21" t="s">
        <v>44</v>
      </c>
    </row>
    <row r="6" spans="2:5" ht="49.5" customHeight="1" x14ac:dyDescent="0.25">
      <c r="B6" s="19" t="s">
        <v>45</v>
      </c>
      <c r="C6" s="20" t="e">
        <f ca="1">rwresize(TRUE())</f>
        <v>#NAME?</v>
      </c>
      <c r="D6" s="16" t="s">
        <v>46</v>
      </c>
      <c r="E6" s="21" t="s">
        <v>47</v>
      </c>
    </row>
    <row r="7" spans="2:5" ht="49.5" customHeight="1" x14ac:dyDescent="0.25">
      <c r="B7" s="19" t="s">
        <v>48</v>
      </c>
      <c r="C7" s="20" t="e">
        <f ca="1">rwresize("rows")</f>
        <v>#NAME?</v>
      </c>
      <c r="D7" s="16" t="s">
        <v>49</v>
      </c>
      <c r="E7" s="21" t="s">
        <v>50</v>
      </c>
    </row>
    <row r="9" spans="2:5" ht="21.75" customHeight="1" x14ac:dyDescent="0.25">
      <c r="B9" s="8" t="s">
        <v>51</v>
      </c>
      <c r="C9" s="8"/>
      <c r="D9" s="8"/>
      <c r="E9" s="8"/>
    </row>
    <row r="10" spans="2:5" ht="31.5" customHeight="1" x14ac:dyDescent="0.25">
      <c r="B10" s="14" t="s">
        <v>38</v>
      </c>
      <c r="C10" s="17" t="s">
        <v>39</v>
      </c>
      <c r="D10" s="14" t="s">
        <v>40</v>
      </c>
      <c r="E10" s="18" t="s">
        <v>41</v>
      </c>
    </row>
    <row r="11" spans="2:5" ht="49.5" customHeight="1" x14ac:dyDescent="0.25">
      <c r="B11" s="19" t="s">
        <v>52</v>
      </c>
      <c r="C11" s="20" t="e">
        <f ca="1">rwresize(FALSE())</f>
        <v>#NAME?</v>
      </c>
      <c r="D11" s="16" t="s">
        <v>53</v>
      </c>
      <c r="E11" s="21" t="s">
        <v>54</v>
      </c>
    </row>
    <row r="12" spans="2:5" ht="49.5" customHeight="1" x14ac:dyDescent="0.25">
      <c r="B12" s="19" t="s">
        <v>55</v>
      </c>
      <c r="C12" s="20" t="e">
        <f ca="1">rwresize("columns")</f>
        <v>#NAME?</v>
      </c>
      <c r="D12" s="16" t="s">
        <v>56</v>
      </c>
      <c r="E12" s="21" t="s">
        <v>57</v>
      </c>
    </row>
    <row r="14" spans="2:5" ht="21.75" customHeight="1" x14ac:dyDescent="0.25">
      <c r="B14" s="8" t="s">
        <v>58</v>
      </c>
      <c r="C14" s="8"/>
      <c r="D14" s="8"/>
      <c r="E14" s="8"/>
    </row>
    <row r="15" spans="2:5" ht="31.5" customHeight="1" x14ac:dyDescent="0.25">
      <c r="B15" s="7" t="s">
        <v>59</v>
      </c>
      <c r="C15" s="7"/>
      <c r="D15" s="7"/>
      <c r="E15" s="7"/>
    </row>
    <row r="16" spans="2:5" ht="31.5" customHeight="1" x14ac:dyDescent="0.25">
      <c r="B16" s="14" t="s">
        <v>38</v>
      </c>
      <c r="C16" s="17" t="s">
        <v>39</v>
      </c>
      <c r="D16" s="14" t="s">
        <v>40</v>
      </c>
      <c r="E16" s="18" t="s">
        <v>41</v>
      </c>
    </row>
    <row r="17" spans="2:5" ht="49.5" customHeight="1" x14ac:dyDescent="0.25">
      <c r="B17" s="19" t="s">
        <v>60</v>
      </c>
      <c r="C17" s="20" t="e">
        <f ca="1">rwresize(TRUE(), 5)</f>
        <v>#NAME?</v>
      </c>
      <c r="D17" s="16" t="s">
        <v>61</v>
      </c>
      <c r="E17" s="21" t="s">
        <v>62</v>
      </c>
    </row>
    <row r="18" spans="2:5" ht="49.5" customHeight="1" x14ac:dyDescent="0.25">
      <c r="B18" s="19" t="s">
        <v>63</v>
      </c>
      <c r="C18" s="20" t="e">
        <f ca="1">rwresize("rows", 5)</f>
        <v>#NAME?</v>
      </c>
      <c r="D18" s="16" t="s">
        <v>64</v>
      </c>
      <c r="E18" s="21" t="s">
        <v>65</v>
      </c>
    </row>
    <row r="19" spans="2:5" ht="49.5" customHeight="1" x14ac:dyDescent="0.25">
      <c r="B19" s="19" t="s">
        <v>66</v>
      </c>
      <c r="C19" s="20" t="e">
        <f ca="1">rwresize(FALSE(), 2)</f>
        <v>#NAME?</v>
      </c>
      <c r="D19" s="16" t="s">
        <v>67</v>
      </c>
      <c r="E19" s="21" t="s">
        <v>68</v>
      </c>
    </row>
    <row r="20" spans="2:5" ht="49.5" customHeight="1" x14ac:dyDescent="0.25">
      <c r="B20" s="19" t="s">
        <v>69</v>
      </c>
      <c r="C20" s="20" t="e">
        <f ca="1">rwresize("columns", 2)</f>
        <v>#NAME?</v>
      </c>
      <c r="D20" s="16" t="s">
        <v>70</v>
      </c>
      <c r="E20" s="21" t="s">
        <v>71</v>
      </c>
    </row>
  </sheetData>
  <mergeCells count="5">
    <mergeCell ref="B1:E1"/>
    <mergeCell ref="B3:E3"/>
    <mergeCell ref="B9:E9"/>
    <mergeCell ref="B14:E14"/>
    <mergeCell ref="B15:E1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5"/>
  <sheetViews>
    <sheetView zoomScaleNormal="100" workbookViewId="0"/>
  </sheetViews>
  <sheetFormatPr defaultColWidth="8.7109375" defaultRowHeight="15" x14ac:dyDescent="0.25"/>
  <cols>
    <col min="1" max="1" width="16" customWidth="1"/>
    <col min="2" max="2" width="14" customWidth="1"/>
    <col min="3" max="3" width="60" customWidth="1"/>
    <col min="4" max="5" width="32" customWidth="1"/>
  </cols>
  <sheetData>
    <row r="1" spans="1:5" ht="27.75" customHeight="1" x14ac:dyDescent="0.25">
      <c r="A1" s="9" t="s">
        <v>72</v>
      </c>
      <c r="B1" s="9"/>
      <c r="C1" s="9"/>
      <c r="D1" s="9"/>
      <c r="E1" s="9"/>
    </row>
    <row r="3" spans="1:5" ht="90" customHeight="1" x14ac:dyDescent="0.25">
      <c r="A3" s="6" t="s">
        <v>73</v>
      </c>
      <c r="B3" s="6"/>
      <c r="C3" s="6"/>
      <c r="D3" s="6"/>
      <c r="E3" s="6"/>
    </row>
    <row r="5" spans="1:5" ht="36" customHeight="1" x14ac:dyDescent="0.25">
      <c r="A5" s="14" t="s">
        <v>74</v>
      </c>
      <c r="B5" s="14" t="s">
        <v>75</v>
      </c>
      <c r="C5" s="14" t="s">
        <v>76</v>
      </c>
      <c r="D5" s="14" t="s">
        <v>77</v>
      </c>
      <c r="E5" s="17" t="s">
        <v>78</v>
      </c>
    </row>
    <row r="6" spans="1:5" ht="18" customHeight="1" x14ac:dyDescent="0.25">
      <c r="A6" s="22" t="s">
        <v>79</v>
      </c>
      <c r="B6" s="23">
        <v>125000</v>
      </c>
      <c r="C6" s="24" t="s">
        <v>80</v>
      </c>
      <c r="D6" s="19" t="s">
        <v>81</v>
      </c>
      <c r="E6" s="20" t="e">
        <f ca="1">rwresize(TRUE(), 3)</f>
        <v>#NAME?</v>
      </c>
    </row>
    <row r="7" spans="1:5" ht="18" customHeight="1" x14ac:dyDescent="0.25">
      <c r="A7" s="22" t="s">
        <v>82</v>
      </c>
      <c r="B7" s="23">
        <v>-42000</v>
      </c>
      <c r="C7" s="24" t="s">
        <v>83</v>
      </c>
      <c r="D7" s="19" t="s">
        <v>81</v>
      </c>
      <c r="E7" s="20" t="e">
        <f ca="1">rwresize(TRUE(), 3)</f>
        <v>#NAME?</v>
      </c>
    </row>
    <row r="8" spans="1:5" ht="18" customHeight="1" x14ac:dyDescent="0.25">
      <c r="A8" s="22" t="s">
        <v>84</v>
      </c>
      <c r="B8" s="23">
        <v>18500</v>
      </c>
      <c r="C8" s="24" t="s">
        <v>85</v>
      </c>
      <c r="D8" s="19" t="s">
        <v>81</v>
      </c>
      <c r="E8" s="20" t="e">
        <f ca="1">rwresize(TRUE(), 3)</f>
        <v>#NAME?</v>
      </c>
    </row>
    <row r="9" spans="1:5" ht="18" customHeight="1" x14ac:dyDescent="0.25">
      <c r="A9" s="22" t="s">
        <v>86</v>
      </c>
      <c r="B9" s="23">
        <v>-67000</v>
      </c>
      <c r="C9" s="24" t="s">
        <v>87</v>
      </c>
      <c r="D9" s="19" t="s">
        <v>81</v>
      </c>
      <c r="E9" s="20" t="e">
        <f ca="1">rwresize(TRUE(), 3)</f>
        <v>#NAME?</v>
      </c>
    </row>
    <row r="10" spans="1:5" ht="18" customHeight="1" x14ac:dyDescent="0.25">
      <c r="A10" s="22" t="s">
        <v>88</v>
      </c>
      <c r="B10" s="23">
        <v>3200</v>
      </c>
      <c r="C10" s="24" t="s">
        <v>89</v>
      </c>
      <c r="D10" s="19" t="s">
        <v>81</v>
      </c>
      <c r="E10" s="20" t="e">
        <f ca="1">rwresize(TRUE(), 3)</f>
        <v>#NAME?</v>
      </c>
    </row>
    <row r="13" spans="1:5" ht="21.75" customHeight="1" x14ac:dyDescent="0.25">
      <c r="A13" s="8" t="s">
        <v>90</v>
      </c>
      <c r="B13" s="8"/>
      <c r="C13" s="8"/>
      <c r="D13" s="8"/>
      <c r="E13" s="8"/>
    </row>
    <row r="14" spans="1:5" ht="60" customHeight="1" x14ac:dyDescent="0.25">
      <c r="A14" s="7" t="s">
        <v>91</v>
      </c>
      <c r="B14" s="7"/>
      <c r="C14" s="7"/>
      <c r="D14" s="7"/>
      <c r="E14" s="7"/>
    </row>
    <row r="15" spans="1:5" ht="31.5" customHeight="1" x14ac:dyDescent="0.25">
      <c r="A15" s="14" t="s">
        <v>92</v>
      </c>
      <c r="B15" s="14" t="s">
        <v>74</v>
      </c>
      <c r="C15" s="5" t="s">
        <v>93</v>
      </c>
      <c r="D15" s="5"/>
      <c r="E15" s="5"/>
    </row>
    <row r="16" spans="1:5" ht="37.5" customHeight="1" x14ac:dyDescent="0.25">
      <c r="A16" s="25" t="s">
        <v>94</v>
      </c>
      <c r="B16" s="26" t="s">
        <v>79</v>
      </c>
      <c r="C16" s="4" t="s">
        <v>95</v>
      </c>
      <c r="D16" s="4"/>
      <c r="E16" s="4"/>
    </row>
    <row r="17" spans="1:5" ht="37.5" customHeight="1" x14ac:dyDescent="0.25">
      <c r="A17" s="25" t="s">
        <v>96</v>
      </c>
      <c r="B17" s="26" t="s">
        <v>82</v>
      </c>
      <c r="C17" s="4" t="s">
        <v>97</v>
      </c>
      <c r="D17" s="4"/>
      <c r="E17" s="4"/>
    </row>
    <row r="18" spans="1:5" ht="37.5" customHeight="1" x14ac:dyDescent="0.25">
      <c r="A18" s="25" t="s">
        <v>98</v>
      </c>
      <c r="B18" s="26" t="s">
        <v>84</v>
      </c>
      <c r="C18" s="4" t="s">
        <v>99</v>
      </c>
      <c r="D18" s="4"/>
      <c r="E18" s="4"/>
    </row>
    <row r="19" spans="1:5" ht="37.5" customHeight="1" x14ac:dyDescent="0.25">
      <c r="A19" s="25" t="s">
        <v>100</v>
      </c>
      <c r="B19" s="26" t="s">
        <v>86</v>
      </c>
      <c r="C19" s="4" t="s">
        <v>101</v>
      </c>
      <c r="D19" s="4"/>
      <c r="E19" s="4"/>
    </row>
    <row r="20" spans="1:5" ht="37.5" customHeight="1" x14ac:dyDescent="0.25">
      <c r="A20" s="25" t="s">
        <v>102</v>
      </c>
      <c r="B20" s="26" t="s">
        <v>88</v>
      </c>
      <c r="C20" s="4" t="s">
        <v>103</v>
      </c>
      <c r="D20" s="4"/>
      <c r="E20" s="4"/>
    </row>
    <row r="23" spans="1:5" x14ac:dyDescent="0.25">
      <c r="A23" s="27" t="s">
        <v>104</v>
      </c>
    </row>
    <row r="24" spans="1:5" ht="15" customHeight="1" x14ac:dyDescent="0.25">
      <c r="A24" s="28"/>
      <c r="B24" s="3" t="s">
        <v>105</v>
      </c>
      <c r="C24" s="3"/>
      <c r="D24" s="3"/>
      <c r="E24" s="3"/>
    </row>
    <row r="25" spans="1:5" ht="15" customHeight="1" x14ac:dyDescent="0.25">
      <c r="A25" s="29"/>
      <c r="B25" s="3" t="s">
        <v>106</v>
      </c>
      <c r="C25" s="3"/>
      <c r="D25" s="3"/>
      <c r="E25" s="3"/>
    </row>
  </sheetData>
  <mergeCells count="12">
    <mergeCell ref="B24:E24"/>
    <mergeCell ref="B25:E25"/>
    <mergeCell ref="C16:E16"/>
    <mergeCell ref="C17:E17"/>
    <mergeCell ref="C18:E18"/>
    <mergeCell ref="C19:E19"/>
    <mergeCell ref="C20:E20"/>
    <mergeCell ref="A1:E1"/>
    <mergeCell ref="A3:E3"/>
    <mergeCell ref="A13:E13"/>
    <mergeCell ref="A14:E14"/>
    <mergeCell ref="C15:E1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6"/>
  <sheetViews>
    <sheetView zoomScaleNormal="100" workbookViewId="0"/>
  </sheetViews>
  <sheetFormatPr defaultColWidth="8.7109375" defaultRowHeight="15" x14ac:dyDescent="0.25"/>
  <cols>
    <col min="1" max="1" width="100" customWidth="1"/>
    <col min="2" max="5" width="7" customWidth="1"/>
  </cols>
  <sheetData>
    <row r="1" spans="1:5" ht="27.75" customHeight="1" x14ac:dyDescent="0.25">
      <c r="A1" s="9" t="s">
        <v>107</v>
      </c>
      <c r="B1" s="9"/>
      <c r="C1" s="9"/>
      <c r="D1" s="9"/>
      <c r="E1" s="9"/>
    </row>
    <row r="3" spans="1:5" ht="109.5" customHeight="1" x14ac:dyDescent="0.25">
      <c r="A3" s="6" t="s">
        <v>108</v>
      </c>
      <c r="B3" s="6"/>
      <c r="C3" s="6"/>
      <c r="D3" s="6"/>
      <c r="E3" s="6"/>
    </row>
    <row r="4" spans="1:5" x14ac:dyDescent="0.25">
      <c r="A4" s="30" t="s">
        <v>109</v>
      </c>
      <c r="B4" s="31" t="s">
        <v>110</v>
      </c>
      <c r="C4" s="31" t="s">
        <v>111</v>
      </c>
      <c r="D4" s="31" t="s">
        <v>112</v>
      </c>
      <c r="E4" s="31" t="s">
        <v>113</v>
      </c>
    </row>
    <row r="5" spans="1:5" ht="24" customHeight="1" x14ac:dyDescent="0.25">
      <c r="A5" s="32" t="s">
        <v>114</v>
      </c>
      <c r="B5" s="33" t="s">
        <v>115</v>
      </c>
      <c r="C5" s="33" t="s">
        <v>115</v>
      </c>
      <c r="D5" s="33" t="s">
        <v>115</v>
      </c>
      <c r="E5" s="33" t="s">
        <v>115</v>
      </c>
    </row>
    <row r="6" spans="1:5" ht="24" customHeight="1" x14ac:dyDescent="0.25">
      <c r="A6" s="34" t="s">
        <v>116</v>
      </c>
      <c r="B6" s="35" t="e">
        <f ca="1">rwresize(FALSE(),1)</f>
        <v>#NAME?</v>
      </c>
      <c r="C6" s="35" t="e">
        <f ca="1">rwresize(FALSE(),1)</f>
        <v>#NAME?</v>
      </c>
      <c r="D6" s="35" t="e">
        <f ca="1">rwresize(FALSE(),1)</f>
        <v>#NAME?</v>
      </c>
      <c r="E6" s="35" t="e">
        <f ca="1">rwresize(FALSE(),1)</f>
        <v>#NAME?</v>
      </c>
    </row>
    <row r="7" spans="1:5" x14ac:dyDescent="0.25">
      <c r="A7" s="30" t="s">
        <v>117</v>
      </c>
      <c r="B7" s="36" t="s">
        <v>110</v>
      </c>
      <c r="C7" s="36" t="s">
        <v>111</v>
      </c>
      <c r="D7" s="36" t="s">
        <v>112</v>
      </c>
      <c r="E7" s="36" t="s">
        <v>113</v>
      </c>
    </row>
    <row r="8" spans="1:5" x14ac:dyDescent="0.25">
      <c r="A8" s="37" t="s">
        <v>79</v>
      </c>
      <c r="B8" s="38">
        <v>12500000</v>
      </c>
      <c r="C8" s="38">
        <v>13800000</v>
      </c>
      <c r="D8" s="38">
        <v>14200000</v>
      </c>
      <c r="E8" s="38">
        <v>15100000</v>
      </c>
    </row>
    <row r="9" spans="1:5" x14ac:dyDescent="0.25">
      <c r="A9" s="37" t="s">
        <v>118</v>
      </c>
      <c r="B9" s="38">
        <v>-4800000</v>
      </c>
      <c r="C9" s="38">
        <v>-5300000</v>
      </c>
      <c r="D9" s="38">
        <v>-5700000</v>
      </c>
      <c r="E9" s="38">
        <v>-6100000</v>
      </c>
    </row>
    <row r="10" spans="1:5" x14ac:dyDescent="0.25">
      <c r="A10" s="39" t="s">
        <v>119</v>
      </c>
      <c r="B10" s="40">
        <v>7700000</v>
      </c>
      <c r="C10" s="40">
        <v>8500000</v>
      </c>
      <c r="D10" s="40">
        <v>8500000</v>
      </c>
      <c r="E10" s="40">
        <v>9000000</v>
      </c>
    </row>
    <row r="11" spans="1:5" x14ac:dyDescent="0.25">
      <c r="A11" s="37" t="s">
        <v>120</v>
      </c>
      <c r="B11" s="38">
        <v>-3200000</v>
      </c>
      <c r="C11" s="38">
        <v>-3400000</v>
      </c>
      <c r="D11" s="38">
        <v>-3600000</v>
      </c>
      <c r="E11" s="38">
        <v>-3800000</v>
      </c>
    </row>
    <row r="12" spans="1:5" x14ac:dyDescent="0.25">
      <c r="A12" s="39" t="s">
        <v>121</v>
      </c>
      <c r="B12" s="40">
        <v>4500000</v>
      </c>
      <c r="C12" s="40">
        <v>5100000</v>
      </c>
      <c r="D12" s="40">
        <v>4900000</v>
      </c>
      <c r="E12" s="40">
        <v>5200000</v>
      </c>
    </row>
    <row r="15" spans="1:5" ht="21.75" customHeight="1" x14ac:dyDescent="0.25">
      <c r="A15" s="12" t="s">
        <v>122</v>
      </c>
    </row>
    <row r="16" spans="1:5" ht="60" customHeight="1" x14ac:dyDescent="0.25">
      <c r="A16" s="13" t="s">
        <v>123</v>
      </c>
    </row>
    <row r="17" spans="1:1" ht="109.5" customHeight="1" x14ac:dyDescent="0.25">
      <c r="A17" s="21" t="s">
        <v>124</v>
      </c>
    </row>
    <row r="18" spans="1:1" ht="109.5" customHeight="1" x14ac:dyDescent="0.25">
      <c r="A18" s="21" t="s">
        <v>125</v>
      </c>
    </row>
    <row r="19" spans="1:1" ht="109.5" customHeight="1" x14ac:dyDescent="0.25">
      <c r="A19" s="21" t="s">
        <v>126</v>
      </c>
    </row>
    <row r="20" spans="1:1" ht="109.5" customHeight="1" x14ac:dyDescent="0.25">
      <c r="A20" s="21" t="s">
        <v>127</v>
      </c>
    </row>
    <row r="23" spans="1:1" x14ac:dyDescent="0.25">
      <c r="A23" s="27" t="s">
        <v>104</v>
      </c>
    </row>
    <row r="24" spans="1:1" ht="21.75" customHeight="1" x14ac:dyDescent="0.25">
      <c r="A24" s="41" t="s">
        <v>128</v>
      </c>
    </row>
    <row r="25" spans="1:1" ht="21.75" customHeight="1" x14ac:dyDescent="0.25">
      <c r="A25" s="42" t="s">
        <v>129</v>
      </c>
    </row>
    <row r="26" spans="1:1" ht="21.75" customHeight="1" x14ac:dyDescent="0.25">
      <c r="A26" s="43" t="s">
        <v>130</v>
      </c>
    </row>
  </sheetData>
  <mergeCells count="2">
    <mergeCell ref="A1:E1"/>
    <mergeCell ref="A3:E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E20"/>
  <sheetViews>
    <sheetView zoomScaleNormal="100" workbookViewId="0"/>
  </sheetViews>
  <sheetFormatPr defaultColWidth="8.7109375" defaultRowHeight="15" x14ac:dyDescent="0.25"/>
  <cols>
    <col min="1" max="1" width="5" customWidth="1"/>
    <col min="2" max="3" width="32" customWidth="1"/>
    <col min="4" max="4" width="50" customWidth="1"/>
    <col min="5" max="5" width="45" customWidth="1"/>
  </cols>
  <sheetData>
    <row r="1" spans="2:5" ht="27.75" customHeight="1" x14ac:dyDescent="0.25">
      <c r="B1" s="9" t="s">
        <v>131</v>
      </c>
      <c r="C1" s="9"/>
      <c r="D1" s="9"/>
      <c r="E1" s="9"/>
    </row>
    <row r="3" spans="2:5" ht="37.5" customHeight="1" x14ac:dyDescent="0.25">
      <c r="B3" s="6" t="s">
        <v>132</v>
      </c>
      <c r="C3" s="6"/>
      <c r="D3" s="6"/>
      <c r="E3" s="6"/>
    </row>
    <row r="5" spans="2:5" ht="21.75" customHeight="1" x14ac:dyDescent="0.25">
      <c r="B5" s="8" t="s">
        <v>133</v>
      </c>
      <c r="C5" s="8"/>
      <c r="D5" s="8"/>
      <c r="E5" s="8"/>
    </row>
    <row r="6" spans="2:5" ht="31.5" customHeight="1" x14ac:dyDescent="0.25">
      <c r="B6" s="14" t="s">
        <v>38</v>
      </c>
      <c r="C6" s="17" t="s">
        <v>39</v>
      </c>
      <c r="D6" s="14" t="s">
        <v>40</v>
      </c>
      <c r="E6" s="18" t="s">
        <v>41</v>
      </c>
    </row>
    <row r="7" spans="2:5" ht="55.5" customHeight="1" x14ac:dyDescent="0.25">
      <c r="B7" s="19" t="s">
        <v>42</v>
      </c>
      <c r="C7" s="20" t="e">
        <f ca="1">rwresize()</f>
        <v>#NAME?</v>
      </c>
      <c r="D7" s="16" t="s">
        <v>134</v>
      </c>
      <c r="E7" s="21" t="s">
        <v>135</v>
      </c>
    </row>
    <row r="8" spans="2:5" ht="55.5" customHeight="1" x14ac:dyDescent="0.25">
      <c r="B8" s="19" t="s">
        <v>136</v>
      </c>
      <c r="C8" s="20" t="e">
        <f ca="1">rwresize(TRUE(), 2)</f>
        <v>#NAME?</v>
      </c>
      <c r="D8" s="16" t="s">
        <v>137</v>
      </c>
      <c r="E8" s="21" t="s">
        <v>138</v>
      </c>
    </row>
    <row r="9" spans="2:5" ht="55.5" customHeight="1" x14ac:dyDescent="0.25">
      <c r="B9" s="19" t="s">
        <v>60</v>
      </c>
      <c r="C9" s="20" t="e">
        <f ca="1">rwresize(TRUE(), 5)</f>
        <v>#NAME?</v>
      </c>
      <c r="D9" s="16" t="s">
        <v>139</v>
      </c>
      <c r="E9" s="21" t="s">
        <v>140</v>
      </c>
    </row>
    <row r="10" spans="2:5" ht="55.5" customHeight="1" x14ac:dyDescent="0.25">
      <c r="B10" s="19" t="s">
        <v>141</v>
      </c>
      <c r="C10" s="20" t="e">
        <f ca="1">rwresize(TRUE(), 10)</f>
        <v>#NAME?</v>
      </c>
      <c r="D10" s="16" t="s">
        <v>142</v>
      </c>
      <c r="E10" s="21" t="s">
        <v>143</v>
      </c>
    </row>
    <row r="11" spans="2:5" ht="55.5" customHeight="1" x14ac:dyDescent="0.25">
      <c r="B11" s="19" t="s">
        <v>144</v>
      </c>
      <c r="C11" s="20" t="e">
        <f ca="1">rwresize(FALSE(), 1)</f>
        <v>#NAME?</v>
      </c>
      <c r="D11" s="16" t="s">
        <v>145</v>
      </c>
      <c r="E11" s="21" t="s">
        <v>146</v>
      </c>
    </row>
    <row r="12" spans="2:5" ht="55.5" customHeight="1" x14ac:dyDescent="0.25">
      <c r="B12" s="19" t="s">
        <v>147</v>
      </c>
      <c r="C12" s="20" t="e">
        <f ca="1">rwresize("columns", 4)</f>
        <v>#NAME?</v>
      </c>
      <c r="D12" s="16" t="s">
        <v>148</v>
      </c>
      <c r="E12" s="21" t="s">
        <v>149</v>
      </c>
    </row>
    <row r="14" spans="2:5" ht="21.75" customHeight="1" x14ac:dyDescent="0.25">
      <c r="B14" s="8" t="s">
        <v>150</v>
      </c>
      <c r="C14" s="8"/>
      <c r="D14" s="8"/>
      <c r="E14" s="8"/>
    </row>
    <row r="15" spans="2:5" ht="31.5" customHeight="1" x14ac:dyDescent="0.25">
      <c r="B15" s="14" t="s">
        <v>151</v>
      </c>
      <c r="C15" s="14" t="s">
        <v>152</v>
      </c>
      <c r="D15" s="2" t="s">
        <v>153</v>
      </c>
      <c r="E15" s="2"/>
    </row>
    <row r="16" spans="2:5" ht="37.5" customHeight="1" x14ac:dyDescent="0.25">
      <c r="B16" s="44" t="s">
        <v>154</v>
      </c>
      <c r="C16" s="45" t="s">
        <v>155</v>
      </c>
      <c r="D16" s="1" t="s">
        <v>156</v>
      </c>
      <c r="E16" s="1"/>
    </row>
    <row r="17" spans="2:5" ht="37.5" customHeight="1" x14ac:dyDescent="0.25">
      <c r="B17" s="44" t="s">
        <v>157</v>
      </c>
      <c r="C17" s="45" t="s">
        <v>158</v>
      </c>
      <c r="D17" s="1" t="s">
        <v>159</v>
      </c>
      <c r="E17" s="1"/>
    </row>
    <row r="18" spans="2:5" ht="37.5" customHeight="1" x14ac:dyDescent="0.25">
      <c r="B18" s="44" t="s">
        <v>160</v>
      </c>
      <c r="C18" s="45" t="s">
        <v>161</v>
      </c>
      <c r="D18" s="1" t="s">
        <v>162</v>
      </c>
      <c r="E18" s="1"/>
    </row>
    <row r="19" spans="2:5" ht="37.5" customHeight="1" x14ac:dyDescent="0.25">
      <c r="B19" s="44" t="s">
        <v>163</v>
      </c>
      <c r="C19" s="45" t="s">
        <v>164</v>
      </c>
      <c r="D19" s="1" t="s">
        <v>165</v>
      </c>
      <c r="E19" s="1"/>
    </row>
    <row r="20" spans="2:5" ht="37.5" customHeight="1" x14ac:dyDescent="0.25">
      <c r="B20" s="44" t="s">
        <v>166</v>
      </c>
      <c r="C20" s="45" t="s">
        <v>167</v>
      </c>
      <c r="D20" s="1" t="s">
        <v>168</v>
      </c>
      <c r="E20" s="1"/>
    </row>
  </sheetData>
  <mergeCells count="10">
    <mergeCell ref="D16:E16"/>
    <mergeCell ref="D17:E17"/>
    <mergeCell ref="D18:E18"/>
    <mergeCell ref="D19:E19"/>
    <mergeCell ref="D20:E20"/>
    <mergeCell ref="B1:E1"/>
    <mergeCell ref="B3:E3"/>
    <mergeCell ref="B5:E5"/>
    <mergeCell ref="B14:E14"/>
    <mergeCell ref="D15:E1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F13"/>
  <sheetViews>
    <sheetView zoomScaleNormal="100" workbookViewId="0"/>
  </sheetViews>
  <sheetFormatPr defaultColWidth="8.7109375" defaultRowHeight="15" x14ac:dyDescent="0.25"/>
  <cols>
    <col min="1" max="1" width="5" customWidth="1"/>
    <col min="2" max="2" width="32" customWidth="1"/>
    <col min="3" max="4" width="42" customWidth="1"/>
    <col min="5" max="6" width="45" customWidth="1"/>
  </cols>
  <sheetData>
    <row r="1" spans="2:6" ht="27.75" customHeight="1" x14ac:dyDescent="0.25">
      <c r="B1" s="9" t="s">
        <v>169</v>
      </c>
      <c r="C1" s="9"/>
      <c r="D1" s="9"/>
      <c r="E1" s="9"/>
      <c r="F1" s="9"/>
    </row>
    <row r="3" spans="2:6" ht="109.5" customHeight="1" x14ac:dyDescent="0.25">
      <c r="B3" s="6" t="s">
        <v>170</v>
      </c>
      <c r="C3" s="6"/>
      <c r="D3" s="6"/>
      <c r="E3" s="6"/>
      <c r="F3" s="6"/>
    </row>
    <row r="5" spans="2:6" ht="36" customHeight="1" x14ac:dyDescent="0.25">
      <c r="B5" s="14" t="s">
        <v>171</v>
      </c>
      <c r="C5" s="14" t="s">
        <v>38</v>
      </c>
      <c r="D5" s="17" t="s">
        <v>39</v>
      </c>
      <c r="E5" s="14" t="s">
        <v>172</v>
      </c>
      <c r="F5" s="18" t="s">
        <v>41</v>
      </c>
    </row>
    <row r="6" spans="2:6" ht="69.75" customHeight="1" x14ac:dyDescent="0.25">
      <c r="B6" s="44" t="s">
        <v>173</v>
      </c>
      <c r="C6" s="19" t="s">
        <v>81</v>
      </c>
      <c r="D6" s="20" t="e">
        <f ca="1">rwresize(TRUE(), 3)</f>
        <v>#NAME?</v>
      </c>
      <c r="E6" s="16" t="s">
        <v>174</v>
      </c>
      <c r="F6" s="21" t="s">
        <v>175</v>
      </c>
    </row>
    <row r="7" spans="2:6" ht="69.75" customHeight="1" x14ac:dyDescent="0.25">
      <c r="B7" s="44" t="s">
        <v>176</v>
      </c>
      <c r="C7" s="19" t="s">
        <v>144</v>
      </c>
      <c r="D7" s="20" t="e">
        <f ca="1">rwresize(FALSE(), 1)</f>
        <v>#NAME?</v>
      </c>
      <c r="E7" s="16" t="s">
        <v>177</v>
      </c>
      <c r="F7" s="21" t="s">
        <v>178</v>
      </c>
    </row>
    <row r="8" spans="2:6" ht="69.75" customHeight="1" x14ac:dyDescent="0.25">
      <c r="B8" s="44" t="s">
        <v>179</v>
      </c>
      <c r="C8" s="19" t="s">
        <v>42</v>
      </c>
      <c r="D8" s="20" t="e">
        <f ca="1">rwresize()</f>
        <v>#NAME?</v>
      </c>
      <c r="E8" s="16" t="s">
        <v>180</v>
      </c>
      <c r="F8" s="21" t="s">
        <v>181</v>
      </c>
    </row>
    <row r="9" spans="2:6" ht="69.75" customHeight="1" x14ac:dyDescent="0.25">
      <c r="B9" s="44" t="s">
        <v>182</v>
      </c>
      <c r="C9" s="19" t="s">
        <v>183</v>
      </c>
      <c r="D9" s="20" t="e">
        <f ca="1">rwresize("rows", 8)</f>
        <v>#NAME?</v>
      </c>
      <c r="E9" s="16" t="s">
        <v>184</v>
      </c>
      <c r="F9" s="21" t="s">
        <v>185</v>
      </c>
    </row>
    <row r="10" spans="2:6" ht="69.75" customHeight="1" x14ac:dyDescent="0.25">
      <c r="B10" s="44" t="s">
        <v>186</v>
      </c>
      <c r="C10" s="19" t="s">
        <v>187</v>
      </c>
      <c r="D10" s="20" t="e">
        <f ca="1">rwresize(IF($A1="Wide",FALSE(),TRUE()), 2)</f>
        <v>#NAME?</v>
      </c>
      <c r="E10" s="16" t="s">
        <v>188</v>
      </c>
      <c r="F10" s="21" t="s">
        <v>189</v>
      </c>
    </row>
    <row r="11" spans="2:6" ht="69.75" customHeight="1" x14ac:dyDescent="0.25">
      <c r="B11" s="44" t="s">
        <v>190</v>
      </c>
      <c r="C11" s="19" t="s">
        <v>136</v>
      </c>
      <c r="D11" s="20" t="e">
        <f ca="1">rwresize(TRUE(), 2)</f>
        <v>#NAME?</v>
      </c>
      <c r="E11" s="16" t="s">
        <v>191</v>
      </c>
      <c r="F11" s="21" t="s">
        <v>192</v>
      </c>
    </row>
    <row r="12" spans="2:6" ht="69.75" customHeight="1" x14ac:dyDescent="0.25">
      <c r="B12" s="44" t="s">
        <v>193</v>
      </c>
      <c r="C12" s="19" t="s">
        <v>81</v>
      </c>
      <c r="D12" s="20" t="e">
        <f ca="1">rwresize(TRUE(), 3)</f>
        <v>#NAME?</v>
      </c>
      <c r="E12" s="16" t="s">
        <v>194</v>
      </c>
      <c r="F12" s="21" t="s">
        <v>195</v>
      </c>
    </row>
    <row r="13" spans="2:6" ht="69.75" customHeight="1" x14ac:dyDescent="0.25">
      <c r="B13" s="44" t="s">
        <v>196</v>
      </c>
      <c r="C13" s="19" t="s">
        <v>136</v>
      </c>
      <c r="D13" s="20" t="e">
        <f ca="1">rwresize(TRUE(), 2)</f>
        <v>#NAME?</v>
      </c>
      <c r="E13" s="16" t="s">
        <v>197</v>
      </c>
      <c r="F13" s="21" t="s">
        <v>198</v>
      </c>
    </row>
  </sheetData>
  <mergeCells count="2">
    <mergeCell ref="B1:F1"/>
    <mergeCell ref="B3:F3"/>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D13"/>
  <sheetViews>
    <sheetView zoomScaleNormal="100" workbookViewId="0"/>
  </sheetViews>
  <sheetFormatPr defaultColWidth="8.7109375" defaultRowHeight="15" x14ac:dyDescent="0.25"/>
  <cols>
    <col min="1" max="1" width="5" customWidth="1"/>
    <col min="2" max="2" width="35" customWidth="1"/>
    <col min="3" max="4" width="50" customWidth="1"/>
  </cols>
  <sheetData>
    <row r="1" spans="2:4" ht="27.75" customHeight="1" x14ac:dyDescent="0.25">
      <c r="B1" s="9" t="s">
        <v>199</v>
      </c>
      <c r="C1" s="9"/>
      <c r="D1" s="9"/>
    </row>
    <row r="3" spans="2:4" ht="31.5" customHeight="1" x14ac:dyDescent="0.25">
      <c r="B3" s="6" t="s">
        <v>200</v>
      </c>
      <c r="C3" s="6"/>
      <c r="D3" s="6"/>
    </row>
    <row r="5" spans="2:4" ht="31.5" customHeight="1" x14ac:dyDescent="0.25">
      <c r="B5" s="14" t="s">
        <v>201</v>
      </c>
      <c r="C5" s="14" t="s">
        <v>202</v>
      </c>
      <c r="D5" s="14" t="s">
        <v>203</v>
      </c>
    </row>
    <row r="6" spans="2:4" ht="63.75" customHeight="1" x14ac:dyDescent="0.25">
      <c r="B6" s="46" t="s">
        <v>204</v>
      </c>
      <c r="C6" s="24" t="s">
        <v>205</v>
      </c>
      <c r="D6" s="24" t="s">
        <v>206</v>
      </c>
    </row>
    <row r="7" spans="2:4" ht="63.75" customHeight="1" x14ac:dyDescent="0.25">
      <c r="B7" s="46" t="s">
        <v>207</v>
      </c>
      <c r="C7" s="24" t="s">
        <v>208</v>
      </c>
      <c r="D7" s="24" t="s">
        <v>209</v>
      </c>
    </row>
    <row r="8" spans="2:4" ht="63.75" customHeight="1" x14ac:dyDescent="0.25">
      <c r="B8" s="46" t="s">
        <v>210</v>
      </c>
      <c r="C8" s="24" t="s">
        <v>211</v>
      </c>
      <c r="D8" s="24" t="s">
        <v>212</v>
      </c>
    </row>
    <row r="9" spans="2:4" ht="63.75" customHeight="1" x14ac:dyDescent="0.25">
      <c r="B9" s="46" t="s">
        <v>213</v>
      </c>
      <c r="C9" s="24" t="s">
        <v>214</v>
      </c>
      <c r="D9" s="24" t="s">
        <v>215</v>
      </c>
    </row>
    <row r="10" spans="2:4" ht="63.75" customHeight="1" x14ac:dyDescent="0.25">
      <c r="B10" s="46" t="s">
        <v>216</v>
      </c>
      <c r="C10" s="24" t="s">
        <v>217</v>
      </c>
      <c r="D10" s="24" t="s">
        <v>218</v>
      </c>
    </row>
    <row r="11" spans="2:4" ht="63.75" customHeight="1" x14ac:dyDescent="0.25">
      <c r="B11" s="46" t="s">
        <v>219</v>
      </c>
      <c r="C11" s="24" t="s">
        <v>220</v>
      </c>
      <c r="D11" s="24" t="s">
        <v>221</v>
      </c>
    </row>
    <row r="12" spans="2:4" ht="63.75" customHeight="1" x14ac:dyDescent="0.25">
      <c r="B12" s="46" t="s">
        <v>222</v>
      </c>
      <c r="C12" s="24" t="s">
        <v>223</v>
      </c>
      <c r="D12" s="24" t="s">
        <v>224</v>
      </c>
    </row>
    <row r="13" spans="2:4" ht="63.75" customHeight="1" x14ac:dyDescent="0.25">
      <c r="B13" s="46" t="s">
        <v>225</v>
      </c>
      <c r="C13" s="24" t="s">
        <v>226</v>
      </c>
      <c r="D13" s="24" t="s">
        <v>227</v>
      </c>
    </row>
  </sheetData>
  <mergeCells count="2">
    <mergeCell ref="B1:D1"/>
    <mergeCell ref="B3:D3"/>
  </mergeCells>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defa4170-0d19-0005-0004-bc88714345d2}" enabled="1" method="Standard" siteId="{8d35d79e-144a-4cd6-8df1-5d70d87aae5d}" contentBits="0"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1. Basic Syntax</vt:lpstr>
      <vt:lpstr>2. Row Auto-Fit</vt:lpstr>
      <vt:lpstr>3. Column Auto-Fit</vt:lpstr>
      <vt:lpstr>4. With Padding</vt:lpstr>
      <vt:lpstr>5. Common Patterns</vt:lpstr>
      <vt:lpstr>6. Common Mistakes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Karen Hewitt</cp:lastModifiedBy>
  <cp:revision>0</cp:revision>
  <dcterms:created xsi:type="dcterms:W3CDTF">2026-04-28T17:55:57Z</dcterms:created>
  <dcterms:modified xsi:type="dcterms:W3CDTF">2026-04-28T17:56:48Z</dcterms:modified>
  <dc:language>en-US</dc:language>
</cp:coreProperties>
</file>